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ng quan" sheetId="1" r:id="rId1"/>
    <sheet name="Bao cao tuan" sheetId="2" r:id="rId2"/>
    <sheet name="Chi tiet task" sheetId="3" r:id="rId3"/>
    <sheet name="Viec con lai 25-31" sheetId="4" r:id="rId4"/>
    <sheet name="Nguon va cach tinh" sheetId="5" r:id="rId5"/>
  </sheets>
  <definedNames>
    <definedName name="_xlnm._FilterDatabase" localSheetId="2" hidden="1">'Chi tiet task'!$A$6:$P$24</definedName>
    <definedName name="_xlnm._FilterDatabase" localSheetId="3" hidden="1">'Viec con lai 25-31'!$A$6:$H$24</definedName>
    <definedName name="_xlnm.Print_Area" localSheetId="1">'Bao cao tuan'!$A$1:$H$36</definedName>
    <definedName name="_xlnm.Print_Area" localSheetId="2">'Chi tiet task'!$A$1:$P$24</definedName>
    <definedName name="_xlnm.Print_Area" localSheetId="4">'Nguon va cach tinh'!$A$1:$H$40</definedName>
    <definedName name="_xlnm.Print_Area" localSheetId="0">'Tong quan'!$A$1:$H$40</definedName>
    <definedName name="_xlnm.Print_Area" localSheetId="3">'Viec con lai 25-31'!$A$1:$H$24</definedName>
    <definedName name="_xlnm.Print_Titles" localSheetId="1">'Bao cao tuan'!$1:$4</definedName>
    <definedName name="_xlnm.Print_Titles" localSheetId="2">'Chi tiet task'!$1:$6</definedName>
    <definedName name="_xlnm.Print_Titles" localSheetId="3">'Viec con lai 25-31'!$1:$6</definedName>
  </definedNames>
  <calcPr calcId="124519" fullCalcOnLoad="1"/>
</workbook>
</file>

<file path=xl/comments1.xml><?xml version="1.0" encoding="utf-8"?>
<comments xmlns="http://schemas.openxmlformats.org/spreadsheetml/2006/main">
  <authors>
    <author/>
  </authors>
  <commentList>
    <comment ref="B7" authorId="0">
      <text>
        <r>
          <rPr>
            <sz val="8"/>
            <color indexed="81"/>
            <rFont val="Tahoma"/>
            <family val="2"/>
          </rPr>
          <t>Project: To do
Bằng chứng source: docs/PRD.md
Không suy ra tác giả lịch sử từ người chủ trì.</t>
        </r>
      </text>
    </comment>
    <comment ref="B8" authorId="0">
      <text>
        <r>
          <rPr>
            <sz val="8"/>
            <color indexed="81"/>
            <rFont val="Tahoma"/>
            <family val="2"/>
          </rPr>
          <t>Project: To do
Bằng chứng source: thu-thanh-figma-clicon/manifest.json
Không suy ra tác giả lịch sử từ người chủ trì.</t>
        </r>
      </text>
    </comment>
    <comment ref="B9" authorId="0">
      <text>
        <r>
          <rPr>
            <sz val="8"/>
            <color indexed="81"/>
            <rFont val="Tahoma"/>
            <family val="2"/>
          </rPr>
          <t>Project: To do
Bằng chứng source: docs/API.md
Không suy ra tác giả lịch sử từ người chủ trì.</t>
        </r>
      </text>
    </comment>
    <comment ref="B10" authorId="0">
      <text>
        <r>
          <rPr>
            <sz val="8"/>
            <color indexed="81"/>
            <rFont val="Tahoma"/>
            <family val="2"/>
          </rPr>
          <t>Project: To do
Bằng chứng source: frontend/src/components/home-storefront.tsx
Không suy ra tác giả lịch sử từ người chủ trì.</t>
        </r>
      </text>
    </comment>
    <comment ref="B11" authorId="0">
      <text>
        <r>
          <rPr>
            <sz val="8"/>
            <color indexed="81"/>
            <rFont val="Tahoma"/>
            <family val="2"/>
          </rPr>
          <t>Project: To do
Bằng chứng source: frontend/src/components/store-shell.tsx
Không suy ra tác giả lịch sử từ người chủ trì.</t>
        </r>
      </text>
    </comment>
    <comment ref="B12" authorId="0">
      <text>
        <r>
          <rPr>
            <sz val="8"/>
            <color indexed="81"/>
            <rFont val="Tahoma"/>
            <family val="2"/>
          </rPr>
          <t>Project: To do
Bằng chứng source: backend/app/Services/PasswordRecoveryService.php
Không suy ra tác giả lịch sử từ người chủ trì.</t>
        </r>
      </text>
    </comment>
    <comment ref="B13" authorId="0">
      <text>
        <r>
          <rPr>
            <sz val="8"/>
            <color indexed="81"/>
            <rFont val="Tahoma"/>
            <family val="2"/>
          </rPr>
          <t>Project: To do
Bằng chứng source: backend/app/Services/CartService.php
Không suy ra tác giả lịch sử từ người chủ trì.</t>
        </r>
      </text>
    </comment>
    <comment ref="B14" authorId="0">
      <text>
        <r>
          <rPr>
            <sz val="8"/>
            <color indexed="81"/>
            <rFont val="Tahoma"/>
            <family val="2"/>
          </rPr>
          <t>Project: To do
Bằng chứng source: backend/app/Services/CheckoutService.php
Không suy ra tác giả lịch sử từ người chủ trì.</t>
        </r>
      </text>
    </comment>
    <comment ref="B15" authorId="0">
      <text>
        <r>
          <rPr>
            <sz val="8"/>
            <color indexed="81"/>
            <rFont val="Tahoma"/>
            <family val="2"/>
          </rPr>
          <t>Project: To do
Bằng chứng source: backend/app/Services/PaymentService.php
Không suy ra tác giả lịch sử từ người chủ trì.</t>
        </r>
      </text>
    </comment>
    <comment ref="B16" authorId="0">
      <text>
        <r>
          <rPr>
            <sz val="8"/>
            <color indexed="81"/>
            <rFont val="Tahoma"/>
            <family val="2"/>
          </rPr>
          <t>Project: To do
Bằng chứng source: backend/app/Services/OrderService.php
Không suy ra tác giả lịch sử từ người chủ trì.</t>
        </r>
      </text>
    </comment>
    <comment ref="B17" authorId="0">
      <text>
        <r>
          <rPr>
            <sz val="8"/>
            <color indexed="81"/>
            <rFont val="Tahoma"/>
            <family val="2"/>
          </rPr>
          <t>Project: To do
Bằng chứng source: backend/app/Services/ReconciliationService.php
Không suy ra tác giả lịch sử từ người chủ trì.</t>
        </r>
      </text>
    </comment>
    <comment ref="B18" authorId="0">
      <text>
        <r>
          <rPr>
            <sz val="8"/>
            <color indexed="81"/>
            <rFont val="Tahoma"/>
            <family val="2"/>
          </rPr>
          <t>Project: To do
Bằng chứng source: backend/app/Services/CatalogService.php
Không suy ra tác giả lịch sử từ người chủ trì.</t>
        </r>
      </text>
    </comment>
    <comment ref="B19" authorId="0">
      <text>
        <r>
          <rPr>
            <sz val="8"/>
            <color indexed="81"/>
            <rFont val="Tahoma"/>
            <family val="2"/>
          </rPr>
          <t>Project: To do
Bằng chứng source: backend/app/Services/InventoryService.php
Không suy ra tác giả lịch sử từ người chủ trì.</t>
        </r>
      </text>
    </comment>
    <comment ref="B20" authorId="0">
      <text>
        <r>
          <rPr>
            <sz val="8"/>
            <color indexed="81"/>
            <rFont val="Tahoma"/>
            <family val="2"/>
          </rPr>
          <t>Project: To do
Bằng chứng source: backend/app/Services/OrderService.php
Không suy ra tác giả lịch sử từ người chủ trì.</t>
        </r>
      </text>
    </comment>
    <comment ref="B21" authorId="0">
      <text>
        <r>
          <rPr>
            <sz val="8"/>
            <color indexed="81"/>
            <rFont val="Tahoma"/>
            <family val="2"/>
          </rPr>
          <t>Project: To do
Bằng chứng source: backend/app/Services/RevenueService.php
Không suy ra tác giả lịch sử từ người chủ trì.</t>
        </r>
      </text>
    </comment>
    <comment ref="B22" authorId="0">
      <text>
        <r>
          <rPr>
            <sz val="8"/>
            <color indexed="81"/>
            <rFont val="Tahoma"/>
            <family val="2"/>
          </rPr>
          <t>Project: To do
Bằng chứng source: docs/VERIFICATION.md
Không suy ra tác giả lịch sử từ người chủ trì.</t>
        </r>
      </text>
    </comment>
    <comment ref="B23" authorId="0">
      <text>
        <r>
          <rPr>
            <sz val="8"/>
            <color indexed="81"/>
            <rFont val="Tahoma"/>
            <family val="2"/>
          </rPr>
          <t>Project: To do
Bằng chứng source: docs/DANH-GIA-SAN-PHAM.md
Không suy ra tác giả lịch sử từ người chủ trì.</t>
        </r>
      </text>
    </comment>
    <comment ref="B24" authorId="0">
      <text>
        <r>
          <rPr>
            <sz val="8"/>
            <color indexed="81"/>
            <rFont val="Tahoma"/>
            <family val="2"/>
          </rPr>
          <t>Project: To do
Bằng chứng source: deploy/compose.yml
Không suy ra tác giả lịch sử từ người chủ trì.</t>
        </r>
      </text>
    </comment>
  </commentList>
</comments>
</file>

<file path=xl/sharedStrings.xml><?xml version="1.0" encoding="utf-8"?>
<sst xmlns="http://schemas.openxmlformats.org/spreadsheetml/2006/main" count="576" uniqueCount="227">
  <si>
    <t>CHI TIẾT 18 TASK • ĐÔNG / THIỆN</t>
  </si>
  <si>
    <t>Snapshot 24/10/2026 15:40 (+07). Phụ trách là đề xuất D49; assignee GitHub thực tế ở cột O.</t>
  </si>
  <si>
    <t>Cột J màu vàng: tự đánh giá tùy chọn, để trống khi chưa có xác nhận; KHÔNG dùng cột này tính tỷ lệ nghiệm thu GitHub.</t>
  </si>
  <si>
    <t>Task</t>
  </si>
  <si>
    <t>Chức năng</t>
  </si>
  <si>
    <t>Chủ trì đề xuất</t>
  </si>
  <si>
    <t>Review chéo</t>
  </si>
  <si>
    <t>Điểm</t>
  </si>
  <si>
    <t>Tuần khung</t>
  </si>
  <si>
    <t>Issue state</t>
  </si>
  <si>
    <t>Close reason</t>
  </si>
  <si>
    <t>% nghiệm thu GitHub</t>
  </si>
  <si>
    <t>% tự đánh giá (tùy chọn)</t>
  </si>
  <si>
    <t>Hiện trạng local / giới hạn</t>
  </si>
  <si>
    <t>Việc cần nghiệm thu</t>
  </si>
  <si>
    <t>Điều kiện / phụ thuộc</t>
  </si>
  <si>
    <t>Link issue</t>
  </si>
  <si>
    <t>Assignee GitHub thật</t>
  </si>
  <si>
    <t>Ngày đóng (+07)</t>
  </si>
  <si>
    <t>T01</t>
  </si>
  <si>
    <t>Chốt proposal và luồng hoạt động</t>
  </si>
  <si>
    <t>Đông</t>
  </si>
  <si>
    <t>Thiện</t>
  </si>
  <si>
    <t>Tuần 1</t>
  </si>
  <si>
    <t>OPEN</t>
  </si>
  <si>
    <t>Nghiệp vụ có trong PRD/DECISIONS.</t>
  </si>
  <si>
    <t>Hai người review proposal, phạm vi và bản nộp.</t>
  </si>
  <si>
    <t>Review chéo và đủ bằng chứng acceptance.</t>
  </si>
  <si>
    <t>DongDao27</t>
  </si>
  <si>
    <t>Chưa đóng</t>
  </si>
  <si>
    <t>#1 • mở GitHub</t>
  </si>
  <si>
    <t>T02</t>
  </si>
  <si>
    <t>Hoàn thiện Figma và danh sách màn hình</t>
  </si>
  <si>
    <t>Plugin V24/mock/flows có; chưa duyệt canvas thật.</t>
  </si>
  <si>
    <t>Import Web/Mobile; duyệt font, prototype; lưu link Figma.</t>
  </si>
  <si>
    <t>Cần chủ dự án duyệt canvas và cung cấp link chung.</t>
  </si>
  <si>
    <t>Chưa gán</t>
  </si>
  <si>
    <t>#4 • mở GitHub</t>
  </si>
  <si>
    <t>T03</t>
  </si>
  <si>
    <t>Thiết lập dự án, database và API</t>
  </si>
  <si>
    <t>Laravel/Next/MySQL/schema và API có; 43 paths hiện hành.</t>
  </si>
  <si>
    <t>Thiện chạy từ clone riêng; ghi môi trường, API và kết quả.</t>
  </si>
  <si>
    <t>Cần kết quả clone/chạy thật trên máy Thiện.</t>
  </si>
  <si>
    <t>#5 • mở GitHub</t>
  </si>
  <si>
    <t>T04</t>
  </si>
  <si>
    <t>Trang chủ, danh mục và tìm kiếm</t>
  </si>
  <si>
    <t>Tuần 2</t>
  </si>
  <si>
    <t>Ba feed, tìm/lọc/sort/page; 136 sản phẩm; QA local.</t>
  </si>
  <si>
    <t>Review home/catalog trên desktop/mobile; đính kèm evidence.</t>
  </si>
  <si>
    <t>#6 • mở GitHub</t>
  </si>
  <si>
    <t>T05</t>
  </si>
  <si>
    <t>Chi tiết sản phẩm và popup thêm giỏ</t>
  </si>
  <si>
    <t>Guest quickview; mua mới login, giữ số lượng; QA có.</t>
  </si>
  <si>
    <t>Kiểm lại đóng/Escape, hết hàng và tiếp tục sau login.</t>
  </si>
  <si>
    <t>#7 • mở GitHub</t>
  </si>
  <si>
    <t>T06</t>
  </si>
  <si>
    <t>Đăng ký, đăng nhập và phân quyền</t>
  </si>
  <si>
    <t>Cookie/CSRF/role; D51 recovery email local; SMTP chưa kiểm.</t>
  </si>
  <si>
    <t>Review auth/quyền; cấu hình SMTP và kiểm email thật nếu mở recovery.</t>
  </si>
  <si>
    <t>SMTP thật và worker nếu nghiệm thu recovery production.</t>
  </si>
  <si>
    <t>#8 • mở GitHub</t>
  </si>
  <si>
    <t>T07</t>
  </si>
  <si>
    <t>Giỏ hàng</t>
  </si>
  <si>
    <t>Giỏ nhiều món/quote/thay số lượng/xóa; tests có.</t>
  </si>
  <si>
    <t>Review tồn thay đổi, giá thay đổi, giỏ trống và đăng nhập.</t>
  </si>
  <si>
    <t>#9 • mở GitHub</t>
  </si>
  <si>
    <t>T08</t>
  </si>
  <si>
    <t>Checkout và tạo đơn</t>
  </si>
  <si>
    <t>Checkout/snapshot/row lock/idempotency đã kiểm local.</t>
  </si>
  <si>
    <t>Review 25k giao/0đ nhận, tạo trùng, lỗi tồn; tách provider thật.</t>
  </si>
  <si>
    <t>#10 • mở GitHub</t>
  </si>
  <si>
    <t>T09</t>
  </si>
  <si>
    <t>Thanh toán online</t>
  </si>
  <si>
    <t>Tuần 3</t>
  </si>
  <si>
    <t>Adapter/test có; VNPAY merchant/Sandbox thật đang hoãn.</t>
  </si>
  <si>
    <t>Hoàn tất phần độc lập; chỉ nghiệm thu thật khi có quyền/credentials.</t>
  </si>
  <si>
    <t>Provider đang hoãn; cần chấp thuận mở lại và credentials Sandbox.</t>
  </si>
  <si>
    <t>#11 • mở GitHub</t>
  </si>
  <si>
    <t>T10</t>
  </si>
  <si>
    <t>Nhận tại cửa hàng và QR tại quầy</t>
  </si>
  <si>
    <t>Đặt trước/prototype QR có; thanh toán QR thật còn chờ.</t>
  </si>
  <si>
    <t>Kiểm pickup/QR mẫu; QR thanh toán thật phụ thuộc provider.</t>
  </si>
  <si>
    <t>QR thanh toán thật phụ thuộc provider T09; QR mẫu không chứng minh paid.</t>
  </si>
  <si>
    <t>#12 • mở GitHub</t>
  </si>
  <si>
    <t>T11</t>
  </si>
  <si>
    <t>Theo dõi đơn, hủy đơn và hết hạn</t>
  </si>
  <si>
    <t>Order/expiry/reconcile và race tests có; provider còn chờ.</t>
  </si>
  <si>
    <t>Review quyền/hủy/hết hạn; nghiệm thu callback muộn khi có Sandbox.</t>
  </si>
  <si>
    <t>Nghiệm thu toàn luồng cần provider; local tests không thay giao dịch thật.</t>
  </si>
  <si>
    <t>#13 • mở GitHub</t>
  </si>
  <si>
    <t>T12</t>
  </si>
  <si>
    <t>Quản lý sản phẩm và hình ảnh</t>
  </si>
  <si>
    <t>Thêm/sửa/archive/restore, ảnh và % giảm giá có.</t>
  </si>
  <si>
    <t>Review CRUD, validation ảnh, làm tròn giá và quyền admin.</t>
  </si>
  <si>
    <t>#14 • mở GitHub</t>
  </si>
  <si>
    <t>T13</t>
  </si>
  <si>
    <t>Tồn kho theo danh mục</t>
  </si>
  <si>
    <t>Tồn vật lý/giữ/có thể bán, ledger/lock/race tests có.</t>
  </si>
  <si>
    <t>Review điều chỉnh tồn, đơn cạnh tranh SKU cuối, lịch sử ledger.</t>
  </si>
  <si>
    <t>#15 • mở GitHub</t>
  </si>
  <si>
    <t>T14</t>
  </si>
  <si>
    <t>Quản lý đơn hàng</t>
  </si>
  <si>
    <t>Admin lọc/chi tiết/trạng thái; chặn hoàn tất đơn unpaid.</t>
  </si>
  <si>
    <t>Review quyền, trạng thái hợp lệ và phần đối soát phụ thuộc provider.</t>
  </si>
  <si>
    <t>Đối soát toàn luồng phụ thuộc provider; chỉ chuyển trạng thái hợp lệ.</t>
  </si>
  <si>
    <t>#16 • mở GitHub</t>
  </si>
  <si>
    <t>T15</t>
  </si>
  <si>
    <t>Tổng quan và doanh thu</t>
  </si>
  <si>
    <t>Chart/filter/CSV có; tiền hàng sau giảm, ship riêng.</t>
  </si>
  <si>
    <t>Review chart/API/CSV; kiểm loại unpaid và tách dữ liệu demo.</t>
  </si>
  <si>
    <t>#17 • mở GitHub</t>
  </si>
  <si>
    <t>T16</t>
  </si>
  <si>
    <t>Kiểm thử chức năng và sửa lỗi</t>
  </si>
  <si>
    <t>D51 local: 118 backend tests/1.675 assertions; 7 client tests.</t>
  </si>
  <si>
    <t>Đo coverage; regression bản cuối; Sandbox/staging chỉ khi đủ đầu vào.</t>
  </si>
  <si>
    <t>Cần coverage; full Sandbox/staging phụ thuộc T09/T18.</t>
  </si>
  <si>
    <t>#18 • mở GitHub</t>
  </si>
  <si>
    <t>T17</t>
  </si>
  <si>
    <t>Kiểm thử người dùng và cải thiện giao diện</t>
  </si>
  <si>
    <t>Có browser QA kỹ thuật; chưa có user testing đại diện.</t>
  </si>
  <si>
    <t>Mời người dùng thật, ghi quan sát; Đông sửa UI; kiểm lại lỗi.</t>
  </si>
  <si>
    <t>Cần người dùng đại diện thực hiện và lưu quan sát thật.</t>
  </si>
  <si>
    <t>#19 • mở GitHub</t>
  </si>
  <si>
    <t>T18</t>
  </si>
  <si>
    <t>Triển khai, tài liệu và demo</t>
  </si>
  <si>
    <t>Có source/guide/Compose; chưa hosting, HTTPS, restore thật.</t>
  </si>
  <si>
    <t>Chốt tài liệu/demo; deploy/restore/10k cần staging được cấp riêng.</t>
  </si>
  <si>
    <t>Chưa có hosting; cần staging/HTTPS/restore, không cam kết tải 10k.</t>
  </si>
  <si>
    <t>#20 • mở GitHub</t>
  </si>
  <si>
    <t>Đây là bảng dữ liệu chi tiết rộng để lọc trên màn hình. Khi in/nộp, ưu tiên sheet Bao cao tuan. Trạng thái Project hiện tại lưu trong snapshot; workbook không tự đồng bộ GitHub.</t>
  </si>
  <si>
    <t>BÁO CÁO TIẾN ĐỘ • NHÀ SÁCH THU THANH</t>
  </si>
  <si>
    <t>Kỳ kế hoạch: 11/10–31/10/2026  |  Tuần 1: 11–17  •  Tuần 2: 18–24  •  Tuần 3: 25–31</t>
  </si>
  <si>
    <t>Đối chiếu GitHub: 24/10/2026 15:40 (+07) • Mẫu số: đúng 18 task T01–T18.</t>
  </si>
  <si>
    <t>GitHub chưa phản ánh hết phần source local: 18 issue vẫn OPEN / To do tại lần chụp này. 0% nghiệm thu GitHub không có nghĩa là chưa viết code. Xem cột hiện trạng local và phần việc còn lại.</t>
  </si>
  <si>
    <t>Thành viên</t>
  </si>
  <si>
    <t>Task phụ trách</t>
  </si>
  <si>
    <t>Điểm kế hoạch</t>
  </si>
  <si>
    <t>Task nghiệm thu</t>
  </si>
  <si>
    <t>Điểm nghiệm thu</t>
  </si>
  <si>
    <t>% theo số task</t>
  </si>
  <si>
    <t>% theo điểm</t>
  </si>
  <si>
    <t>Review</t>
  </si>
  <si>
    <t>TỔNG NHÓM</t>
  </si>
  <si>
    <t>ƯU TIÊN TUẦN 25–31/10</t>
  </si>
  <si>
    <t>25–27/10: chạy trên máy Thiện, duyệt Figma, review catalog/auth/cart/checkout/CRUD. 28–30/10: tồn/đơn/doanh thu, coverage, user testing và sửa lỗi. 31/10: kiểm chéo bản nộp, tài liệu và demo. Provider/deploy thật chỉ hoàn tất khi đủ đầu vào và được cho phép.</t>
  </si>
  <si>
    <t>Phân công D49 là đề xuất trách nhiệm, không xác nhận ai viết code nền. Chưa có username Thiện và chưa có PR trong repo Payment tại snapshot. Hai tuần đầu là khung đối chiếu lập 24/10; không có nhật ký cá nhân đủ để gán ngày thực hiện cho từng task.</t>
  </si>
  <si>
    <t>Mở GitHub Project #4</t>
  </si>
  <si>
    <t>Mở repo source Payment</t>
  </si>
  <si>
    <t>BÁO CÁO HÀNG TUẦN</t>
  </si>
  <si>
    <t>11/10–31/10/2026 • Khung kế hoạch lập ngày 24/10. Các tuần đã qua chỉ ghi kết quả có bằng chứng; không hồi tố ngày làm việc hoặc công sức cá nhân.</t>
  </si>
  <si>
    <t>TUẦN 1 | 11/10–17/10/2026 | Yêu cầu • Figma • nền tảng</t>
  </si>
  <si>
    <t>Chủ trì</t>
  </si>
  <si>
    <t>Nội dung / mục tiêu</t>
  </si>
  <si>
    <t>Kết quả được xác nhận đến snapshot</t>
  </si>
  <si>
    <t>Việc cần làm / điều kiện</t>
  </si>
  <si>
    <t>% GitHub hiện tại</t>
  </si>
  <si>
    <t>Chưa có nhật ký thực hiện riêng trong 11–17/10. Hiện trạng kiểm ngày24/10: Nghiệp vụ có trong PRD/DECISIONS.</t>
  </si>
  <si>
    <t>Chưa có nhật ký thực hiện riêng trong 11–17/10. Hiện trạng kiểm ngày24/10: Plugin V24/mock/flows có; chưa duyệt canvas thật.</t>
  </si>
  <si>
    <t>Chưa có nhật ký thực hiện riêng trong 11–17/10. Hiện trạng kiểm ngày24/10: Laravel/Next/MySQL/schema và API có; 43 paths hiện hành.</t>
  </si>
  <si>
    <t>Mục tiêu có điều kiện, chưa phải kết quả: hai người xác nhận yêu cầu/canvas và chạy dự án độc lập.</t>
  </si>
  <si>
    <t>TUẦN 2 | 18/10–24/10/2026 | Storefront • tài khoản • giỏ • đơn • admin</t>
  </si>
  <si>
    <t>Snapshot24/10, không khẳng định task làm trọn trong tuần: Ba feed, tìm/lọc/sort/page; 136 sản phẩm; QA local.</t>
  </si>
  <si>
    <t>Snapshot24/10, không khẳng định task làm trọn trong tuần: Guest quickview; mua mới login, giữ số lượng; QA có.</t>
  </si>
  <si>
    <t>Snapshot24/10, không khẳng định task làm trọn trong tuần: Cookie/CSRF/role; D51 recovery email local; SMTP chưa kiểm.</t>
  </si>
  <si>
    <t>Snapshot24/10, không khẳng định task làm trọn trong tuần: Giỏ nhiều món/quote/thay số lượng/xóa; tests có.</t>
  </si>
  <si>
    <t>Snapshot24/10, không khẳng định task làm trọn trong tuần: Checkout/snapshot/row lock/idempotency đã kiểm local.</t>
  </si>
  <si>
    <t>Snapshot24/10, không khẳng định task làm trọn trong tuần: Order/expiry/reconcile và race tests có; provider còn chờ.</t>
  </si>
  <si>
    <t>Snapshot24/10, không khẳng định task làm trọn trong tuần: Thêm/sửa/archive/restore, ảnh và % giảm giá có.</t>
  </si>
  <si>
    <t>Snapshot24/10, không khẳng định task làm trọn trong tuần: Tồn vật lý/giữ/có thể bán, ledger/lock/race tests có.</t>
  </si>
  <si>
    <t>Snapshot24/10, không khẳng định task làm trọn trong tuần: Admin lọc/chi tiết/trạng thái; chặn hoàn tất đơn unpaid.</t>
  </si>
  <si>
    <t>Snapshot24/10, không khẳng định task làm trọn trong tuần: Chart/filter/CSV có; tiền hàng sau giảm, ship riêng.</t>
  </si>
  <si>
    <t>Mục tiêu có điều kiện, chưa phải kết quả: review chéo và lưu PR/test trước khi đóng issue.</t>
  </si>
  <si>
    <t>TUẦN 3 | 25/10–31/10/2026 | Nghiệm thu • kiểm thử • bản nộp / demo</t>
  </si>
  <si>
    <t>Chưa đến kỳ; phần local có sẵn ngày24/10: Adapter/test có; VNPAY merchant/Sandbox thật đang hoãn.</t>
  </si>
  <si>
    <t>Chưa đến kỳ; phần local có sẵn ngày24/10: Đặt trước/prototype QR có; thanh toán QR thật còn chờ.</t>
  </si>
  <si>
    <t>Chưa đến kỳ; phần local có sẵn ngày24/10: D51 local: 118 backend tests/1.675 assertions; 7 client tests.</t>
  </si>
  <si>
    <t>Chưa đến kỳ; phần local có sẵn ngày24/10: Có browser QA kỹ thuật; chưa có user testing đại diện.</t>
  </si>
  <si>
    <t>Chưa đến kỳ; phần local có sẵn ngày24/10: Có source/guide/Compose; chưa hosting, HTTPS, restore thật.</t>
  </si>
  <si>
    <t>Mục tiêu có điều kiện, chưa phải kết quả: không đóng payment/deploy khi còn thiếu provider/hosting; ghi phần chưa xong vào bản nộp.</t>
  </si>
  <si>
    <t>KẾ HOẠCH CÒN LẠI • 25–31/10/2026</t>
  </si>
  <si>
    <t>Mục tiêu: nghiệm thu phần đã có, sửa lỗi còn thiếu và chuẩn bị bản nộp. Ngày dưới đây là hạn review dự kiến, không phải cam kết nghiệm thu provider/deploy thật.</t>
  </si>
  <si>
    <t>Hạn review</t>
  </si>
  <si>
    <t>Hành động / đầu ra</t>
  </si>
  <si>
    <t>Tiêu chí kết thúc</t>
  </si>
  <si>
    <t>Điều kiện</t>
  </si>
  <si>
    <t>Loại mục tiêu</t>
  </si>
  <si>
    <t>Review đạt acceptance, gắn bằng chứng; đóng issue sau nghiệm thu.</t>
  </si>
  <si>
    <t>Review chéo; source/test và phạm vi đúng issue.</t>
  </si>
  <si>
    <t>Review / hoàn thiện</t>
  </si>
  <si>
    <t>Hoàn tất phần độc lập; giữ issue mở nếu còn chặn ngoài.</t>
  </si>
  <si>
    <t>Có điều kiện ngoài</t>
  </si>
  <si>
    <t>NGUỒN DỮ LIỆU &amp; CÁCH CẬP NHẬT</t>
  </si>
  <si>
    <t>Phạm vi</t>
  </si>
  <si>
    <t>18 task T01–T18; MASTER và issue #2 tạo repository không nằm trong mẫu số. #2 đóng trước11/10 nên không tính thành tích kỳ này.</t>
  </si>
  <si>
    <t>Ngày dữ liệu</t>
  </si>
  <si>
    <t>2026-10-24T15:40:27+07:00; múi giờ +07. Đây là snapshot, không tự cập nhật khi GitHub thay đổi.</t>
  </si>
  <si>
    <t>Công thức theo task</t>
  </si>
  <si>
    <t>Số task CLOSED với stateReason COMPLETED / số task được phân công. OPEN hoặc CLOSED/NOT_PLANNED không tính hoàn thành.</t>
  </si>
  <si>
    <t>Công thức theo điểm</t>
  </si>
  <si>
    <t>Tổng điểm task đã nghiệm thu / tổng điểm kế hoạch. Mỗi người9task/36điểm; điểm là ước lượng khối lượng, không phải giờ hay điểm môn học.</t>
  </si>
  <si>
    <t>Điền % tự đánh giá</t>
  </si>
  <si>
    <t>Cột J Chi tiet task màu vàng để trống. Nhóm tự điền0%–100% theo bằng chứng; chỉ số này độc lập, không làm tăng tỷ lệ GitHub.</t>
  </si>
  <si>
    <t>Cập nhật snapshot tay</t>
  </si>
  <si>
    <t>Sau nghiệm thu thật trên GitHub, cập nhật cột G Issue state và H Close reason; ghi lại ngày và link bằng chứng. Excel tự tính I và Tổng quan. Tránh thay giá trị chỉ để làm đẹp báo cáo.</t>
  </si>
  <si>
    <t>Tái xuất từ GitHub</t>
  </si>
  <si>
    <t>Chạy python scripts/export-weekly-report.py để đọc GitHub hiện tại và tạo lại file; sẽ ghi đè chỉnh sửa tay trong workbook. --offline tái tạo từ snapshot JSON đã lưu.</t>
  </si>
  <si>
    <t>Phân công / tác giả</t>
  </si>
  <si>
    <t>Chủ trì/review theo đề xuất D49, không phải assignee thật hay tác giả lịch sử. Assignee thật ở cộtO. Chưa có username Thiện; không gán commit của DongDao27 cho Thiện.</t>
  </si>
  <si>
    <t>Kế hoạch ba tuần</t>
  </si>
  <si>
    <t>Khung11–17,18–24,25–31/10 lập ngày24/10. Hai tuần đầu là đối chiếu, chưa có nhật ký cá nhân để xác nhận thời gian; kế hoạch mới này chưa được ghi đè lên MASTER GitHub cũ4tuần.</t>
  </si>
  <si>
    <t>Bằng chứng local</t>
  </si>
  <si>
    <t>D51 đã ghi118backendtests/1675assertions,7clienttests/build/typecheck và QA browser. Báo cáo này không chạy lại app tests; kết quả local không chứng minh production/provider/10k.</t>
  </si>
  <si>
    <t>Điều kiện còn mở</t>
  </si>
  <si>
    <t>VNPAY thật hoãn; chưa có hosting; SMTP thật chưa nghiệm thu; cần duyệt canvas, coverage và user testing đại diện. Backend strict/release gate giữ nguyên.</t>
  </si>
  <si>
    <t>Dữ liệu giữ nguyên</t>
  </si>
  <si>
    <t>Không thay app/database/env, không seed doanh số, không đóng issue, không đổi Project, không tạo commit/PR hay deploy khi xuất báo cáo.</t>
  </si>
  <si>
    <t>Nguồn phân công</t>
  </si>
  <si>
    <t>docs/PHAN-CONG-VA-COMMIT.md; docs/DECISIONS.md D49/D52.</t>
  </si>
  <si>
    <t>Nguồn kiểm chứng local</t>
  </si>
  <si>
    <t>docs/STATUS.json; docs/TASKS.json; docs/qa/D51-browser.json; docs/qa/D51-data-preservation.json; source tương ứng trong chú thích từngtask.</t>
  </si>
  <si>
    <t>GitHub Project #4</t>
  </si>
  <si>
    <t>Repo issue T01–T18</t>
  </si>
  <si>
    <t>Repo source Payment</t>
  </si>
  <si>
    <t>MASTER lịch gốc</t>
  </si>
  <si>
    <t>PR tại snapshot: 0 • Commit hiện có trong Payment:</t>
  </si>
  <si>
    <t>503ca3d14b39 | DongDao27 | 24/10/2026 00:53 (+07)</t>
  </si>
  <si>
    <t>33428a4a1a42 | DongDao27 | 24/10/2026 00:52 (+07)</t>
  </si>
</sst>
</file>

<file path=xl/styles.xml><?xml version="1.0" encoding="utf-8"?>
<styleSheet xmlns="http://schemas.openxmlformats.org/spreadsheetml/2006/main">
  <numFmts count="2">
    <numFmt numFmtId="164" formatCode="0%"/>
    <numFmt numFmtId="165" formatCode="dd/mm/yyyy"/>
  </numFmts>
  <fonts count="8">
    <font>
      <sz val="11"/>
      <color theme="1"/>
      <name val="Calibri"/>
      <family val="2"/>
      <scheme val="minor"/>
    </font>
    <font>
      <b/>
      <sz val="20"/>
      <color rgb="FFFFFFFF"/>
      <name val="Calibri"/>
      <family val="2"/>
      <scheme val="minor"/>
    </font>
    <font>
      <sz val="11"/>
      <color rgb="FF526375"/>
      <name val="Calibri"/>
      <family val="2"/>
      <scheme val="minor"/>
    </font>
    <font>
      <sz val="11"/>
      <color rgb="FF754D0A"/>
      <name val="Calibri"/>
      <family val="2"/>
      <scheme val="minor"/>
    </font>
    <font>
      <b/>
      <sz val="11"/>
      <color rgb="FFFFFFFF"/>
      <name val="Calibri"/>
      <family val="2"/>
      <scheme val="minor"/>
    </font>
    <font>
      <b/>
      <sz val="11"/>
      <color rgb="FF17365D"/>
      <name val="Calibri"/>
      <family val="2"/>
      <scheme val="minor"/>
    </font>
    <font>
      <u/>
      <sz val="11"/>
      <color rgb="FF0563C1"/>
      <name val="Calibri"/>
      <family val="2"/>
      <scheme val="minor"/>
    </font>
    <font>
      <sz val="8"/>
      <color indexed="81"/>
      <name val="Tahoma"/>
      <family val="2"/>
    </font>
  </fonts>
  <fills count="7">
    <fill>
      <patternFill patternType="none"/>
    </fill>
    <fill>
      <patternFill patternType="gray125"/>
    </fill>
    <fill>
      <patternFill patternType="solid">
        <fgColor rgb="FF17365D"/>
        <bgColor indexed="64"/>
      </patternFill>
    </fill>
    <fill>
      <patternFill patternType="solid">
        <fgColor rgb="FFFFF2CC"/>
        <bgColor indexed="64"/>
      </patternFill>
    </fill>
    <fill>
      <patternFill patternType="solid">
        <fgColor rgb="FFE2F0D9"/>
        <bgColor indexed="64"/>
      </patternFill>
    </fill>
    <fill>
      <patternFill patternType="solid">
        <fgColor rgb="FFFFF8DF"/>
        <bgColor indexed="64"/>
      </patternFill>
    </fill>
    <fill>
      <patternFill patternType="solid">
        <fgColor rgb="FFF6F8FC"/>
        <bgColor indexed="64"/>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CE4ED"/>
      </left>
      <right style="thin">
        <color rgb="FFDCE4ED"/>
      </right>
      <top style="thin">
        <color rgb="FFDCE4ED"/>
      </top>
      <bottom style="thin">
        <color rgb="FFDCE4ED"/>
      </bottom>
      <diagonal/>
    </border>
  </borders>
  <cellStyleXfs count="1">
    <xf numFmtId="0" fontId="0" fillId="0" borderId="0"/>
  </cellStyleXfs>
  <cellXfs count="12">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3" fillId="3" borderId="0" xfId="0" applyFont="1" applyFill="1" applyAlignment="1">
      <alignment vertical="center" wrapText="1"/>
    </xf>
    <xf numFmtId="0" fontId="4" fillId="2" borderId="1" xfId="0" applyFont="1" applyFill="1" applyBorder="1" applyAlignment="1">
      <alignment vertical="center" wrapText="1"/>
    </xf>
    <xf numFmtId="0" fontId="0" fillId="0" borderId="2" xfId="0" applyBorder="1" applyAlignment="1">
      <alignment vertical="center" wrapText="1"/>
    </xf>
    <xf numFmtId="164" fontId="0" fillId="0" borderId="2" xfId="0" applyNumberFormat="1" applyBorder="1" applyAlignment="1">
      <alignment horizontal="center" vertical="center"/>
    </xf>
    <xf numFmtId="0" fontId="5" fillId="4" borderId="0" xfId="0" applyFont="1" applyFill="1" applyAlignment="1">
      <alignment vertical="center" wrapText="1"/>
    </xf>
    <xf numFmtId="0" fontId="6" fillId="0" borderId="2" xfId="0" applyFont="1" applyBorder="1" applyAlignment="1">
      <alignment vertical="center" wrapText="1"/>
    </xf>
    <xf numFmtId="164" fontId="0" fillId="5" borderId="2" xfId="0" applyNumberFormat="1" applyFill="1" applyBorder="1" applyAlignment="1">
      <alignment vertical="center" wrapText="1"/>
    </xf>
    <xf numFmtId="0" fontId="0" fillId="6" borderId="2" xfId="0" applyFill="1" applyBorder="1" applyAlignment="1">
      <alignment vertical="center" wrapText="1"/>
    </xf>
    <xf numFmtId="165" fontId="0" fillId="0" borderId="2" xfId="0" applyNumberForma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Phân công cân bằng • 36 điểm / người</a:t>
            </a:r>
          </a:p>
        </c:rich>
      </c:tx>
      <c:layout/>
    </c:title>
    <c:plotArea>
      <c:layout/>
      <c:barChart>
        <c:barDir val="bar"/>
        <c:grouping val="clustered"/>
        <c:ser>
          <c:idx val="0"/>
          <c:order val="0"/>
          <c:tx>
            <c:v>Điểm kế hoạch</c:v>
          </c:tx>
          <c:spPr>
            <a:solidFill>
              <a:srgbClr val="D9E2F3"/>
            </a:solidFill>
            <a:ln>
              <a:noFill/>
            </a:ln>
          </c:spPr>
          <c:dLbls>
            <c:showVal val="1"/>
          </c:dLbls>
          <c:cat>
            <c:strRef>
              <c:f>'Tong quan'!$A$11:$A$12</c:f>
              <c:strCache>
                <c:ptCount val="2"/>
                <c:pt idx="0">
                  <c:v>Đông</c:v>
                </c:pt>
                <c:pt idx="1">
                  <c:v>Thiện</c:v>
                </c:pt>
              </c:strCache>
            </c:strRef>
          </c:cat>
          <c:val>
            <c:numRef>
              <c:f>'Tong quan'!$C$11:$C$12</c:f>
              <c:numCache>
                <c:formatCode>General</c:formatCode>
                <c:ptCount val="2"/>
                <c:pt idx="0">
                  <c:v>36</c:v>
                </c:pt>
                <c:pt idx="1">
                  <c:v>36</c:v>
                </c:pt>
              </c:numCache>
            </c:numRef>
          </c:val>
        </c:ser>
        <c:ser>
          <c:idx val="1"/>
          <c:order val="1"/>
          <c:tx>
            <c:v>Điểm đã nghiệm thu</c:v>
          </c:tx>
          <c:spPr>
            <a:solidFill>
              <a:srgbClr val="4472C4"/>
            </a:solidFill>
            <a:ln>
              <a:noFill/>
            </a:ln>
          </c:spPr>
          <c:dLbls>
            <c:showVal val="1"/>
          </c:dLbls>
          <c:cat>
            <c:strRef>
              <c:f>'Tong quan'!$A$11:$A$12</c:f>
              <c:strCache>
                <c:ptCount val="2"/>
                <c:pt idx="0">
                  <c:v>Đông</c:v>
                </c:pt>
                <c:pt idx="1">
                  <c:v>Thiện</c:v>
                </c:pt>
              </c:strCache>
            </c:strRef>
          </c:cat>
          <c:val>
            <c:numRef>
              <c:f>'Tong quan'!$E$11:$E$12</c:f>
              <c:numCache>
                <c:formatCode>General</c:formatCode>
                <c:ptCount val="2"/>
                <c:pt idx="0">
                  <c:v>0</c:v>
                </c:pt>
                <c:pt idx="1">
                  <c:v>0</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max val="40"/>
          <c:min val="0"/>
        </c:scaling>
        <c:axPos val="b"/>
        <c:majorGridlines/>
        <c:numFmt formatCode="General" sourceLinked="1"/>
        <c:tickLblPos val="nextTo"/>
        <c:crossAx val="50010001"/>
        <c:crosses val="autoZero"/>
        <c:crossBetween val="between"/>
        <c:majorUnit val="10"/>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771525</xdr:colOff>
      <xdr:row>23</xdr:row>
      <xdr:rowOff>257175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users/DongDao27/projects/4" TargetMode="External"/><Relationship Id="rId2" Type="http://schemas.openxmlformats.org/officeDocument/2006/relationships/hyperlink" Target="https://github.com/DongDao27/Payment" TargetMode="External"/><Relationship Id="rId3"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ongDao27/Thu-Thanh-bookstore/issues/1" TargetMode="External"/><Relationship Id="rId2" Type="http://schemas.openxmlformats.org/officeDocument/2006/relationships/hyperlink" Target="https://github.com/DongDao27/Thu-Thanh-bookstore/issues/4" TargetMode="External"/><Relationship Id="rId3" Type="http://schemas.openxmlformats.org/officeDocument/2006/relationships/hyperlink" Target="https://github.com/DongDao27/Thu-Thanh-bookstore/issues/5" TargetMode="External"/><Relationship Id="rId4" Type="http://schemas.openxmlformats.org/officeDocument/2006/relationships/hyperlink" Target="https://github.com/DongDao27/Thu-Thanh-bookstore/issues/6" TargetMode="External"/><Relationship Id="rId5" Type="http://schemas.openxmlformats.org/officeDocument/2006/relationships/hyperlink" Target="https://github.com/DongDao27/Thu-Thanh-bookstore/issues/7" TargetMode="External"/><Relationship Id="rId6" Type="http://schemas.openxmlformats.org/officeDocument/2006/relationships/hyperlink" Target="https://github.com/DongDao27/Thu-Thanh-bookstore/issues/8" TargetMode="External"/><Relationship Id="rId7" Type="http://schemas.openxmlformats.org/officeDocument/2006/relationships/hyperlink" Target="https://github.com/DongDao27/Thu-Thanh-bookstore/issues/9" TargetMode="External"/><Relationship Id="rId8" Type="http://schemas.openxmlformats.org/officeDocument/2006/relationships/hyperlink" Target="https://github.com/DongDao27/Thu-Thanh-bookstore/issues/10" TargetMode="External"/><Relationship Id="rId9" Type="http://schemas.openxmlformats.org/officeDocument/2006/relationships/hyperlink" Target="https://github.com/DongDao27/Thu-Thanh-bookstore/issues/11" TargetMode="External"/><Relationship Id="rId10" Type="http://schemas.openxmlformats.org/officeDocument/2006/relationships/hyperlink" Target="https://github.com/DongDao27/Thu-Thanh-bookstore/issues/12" TargetMode="External"/><Relationship Id="rId11" Type="http://schemas.openxmlformats.org/officeDocument/2006/relationships/hyperlink" Target="https://github.com/DongDao27/Thu-Thanh-bookstore/issues/13" TargetMode="External"/><Relationship Id="rId12" Type="http://schemas.openxmlformats.org/officeDocument/2006/relationships/hyperlink" Target="https://github.com/DongDao27/Thu-Thanh-bookstore/issues/14" TargetMode="External"/><Relationship Id="rId13" Type="http://schemas.openxmlformats.org/officeDocument/2006/relationships/hyperlink" Target="https://github.com/DongDao27/Thu-Thanh-bookstore/issues/15" TargetMode="External"/><Relationship Id="rId14" Type="http://schemas.openxmlformats.org/officeDocument/2006/relationships/hyperlink" Target="https://github.com/DongDao27/Thu-Thanh-bookstore/issues/16" TargetMode="External"/><Relationship Id="rId15" Type="http://schemas.openxmlformats.org/officeDocument/2006/relationships/hyperlink" Target="https://github.com/DongDao27/Thu-Thanh-bookstore/issues/17" TargetMode="External"/><Relationship Id="rId16" Type="http://schemas.openxmlformats.org/officeDocument/2006/relationships/hyperlink" Target="https://github.com/DongDao27/Thu-Thanh-bookstore/issues/18" TargetMode="External"/><Relationship Id="rId17" Type="http://schemas.openxmlformats.org/officeDocument/2006/relationships/hyperlink" Target="https://github.com/DongDao27/Thu-Thanh-bookstore/issues/19" TargetMode="External"/><Relationship Id="rId18" Type="http://schemas.openxmlformats.org/officeDocument/2006/relationships/hyperlink" Target="https://github.com/DongDao27/Thu-Thanh-bookstore/issues/20" TargetMode="External"/><Relationship Id="rId19" Type="http://schemas.openxmlformats.org/officeDocument/2006/relationships/vmlDrawing" Target="../drawings/vmlDrawing1.vml"/><Relationship Id="rId20"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users/DongDao27/projects/4" TargetMode="External"/><Relationship Id="rId2" Type="http://schemas.openxmlformats.org/officeDocument/2006/relationships/hyperlink" Target="https://github.com/DongDao27/Thu-Thanh-bookstore/issues" TargetMode="External"/><Relationship Id="rId3" Type="http://schemas.openxmlformats.org/officeDocument/2006/relationships/hyperlink" Target="https://github.com/DongDao27/Payment" TargetMode="External"/><Relationship Id="rId4" Type="http://schemas.openxmlformats.org/officeDocument/2006/relationships/hyperlink" Target="https://github.com/DongDao27/Thu-Thanh-bookstore/issues/21" TargetMode="External"/><Relationship Id="rId5" Type="http://schemas.openxmlformats.org/officeDocument/2006/relationships/hyperlink" Target="https://github.com/DongDao27/Payment/commit/503ca3d14b392428011e02d31e5c9ec927ce9724" TargetMode="External"/><Relationship Id="rId6" Type="http://schemas.openxmlformats.org/officeDocument/2006/relationships/hyperlink" Target="https://github.com/DongDao27/Payment/commit/33428a4a1a42cf20dea27d5ce5f63b94441a2f94" TargetMode="External"/></Relationships>
</file>

<file path=xl/worksheets/sheet1.xml><?xml version="1.0" encoding="utf-8"?>
<worksheet xmlns="http://schemas.openxmlformats.org/spreadsheetml/2006/main" xmlns:r="http://schemas.openxmlformats.org/officeDocument/2006/relationships">
  <sheetPr>
    <tabColor rgb="FF17365D"/>
    <pageSetUpPr fitToPage="1"/>
  </sheetPr>
  <dimension ref="A1:H40"/>
  <sheetViews>
    <sheetView showGridLines="0" tabSelected="1" workbookViewId="0">
      <pane xSplit="1" ySplit="9" topLeftCell="B10" activePane="bottomRight" state="frozen"/>
      <selection pane="topRight" activeCell="B1" sqref="B1"/>
      <selection pane="bottomLeft" activeCell="A10" sqref="A10"/>
      <selection pane="bottomRight"/>
    </sheetView>
  </sheetViews>
  <sheetFormatPr defaultRowHeight="21.75" customHeight="1"/>
  <cols>
    <col min="1" max="1" width="22.7109375" customWidth="1"/>
    <col min="2" max="4" width="18.7109375" customWidth="1"/>
    <col min="5" max="8" width="22.7109375" customWidth="1"/>
  </cols>
  <sheetData>
    <row r="1" spans="1:8" ht="21.75" customHeight="1">
      <c r="A1" s="1" t="s">
        <v>130</v>
      </c>
      <c r="B1" s="1"/>
      <c r="C1" s="1"/>
      <c r="D1" s="1"/>
      <c r="E1" s="1"/>
      <c r="F1" s="1"/>
      <c r="G1" s="1"/>
      <c r="H1" s="1"/>
    </row>
    <row r="2" spans="1:8" ht="21.75" customHeight="1">
      <c r="A2" s="1"/>
      <c r="B2" s="1"/>
      <c r="C2" s="1"/>
      <c r="D2" s="1"/>
      <c r="E2" s="1"/>
      <c r="F2" s="1"/>
      <c r="G2" s="1"/>
      <c r="H2" s="1"/>
    </row>
    <row r="3" spans="1:8" ht="21.75" customHeight="1">
      <c r="A3" s="2" t="s">
        <v>131</v>
      </c>
      <c r="B3" s="2"/>
      <c r="C3" s="2"/>
      <c r="D3" s="2"/>
      <c r="E3" s="2"/>
      <c r="F3" s="2"/>
      <c r="G3" s="2"/>
      <c r="H3" s="2"/>
    </row>
    <row r="4" spans="1:8" ht="21.75" customHeight="1">
      <c r="A4" s="2" t="s">
        <v>132</v>
      </c>
      <c r="B4" s="2"/>
      <c r="C4" s="2"/>
      <c r="D4" s="2"/>
      <c r="E4" s="2"/>
      <c r="F4" s="2"/>
      <c r="G4" s="2"/>
      <c r="H4" s="2"/>
    </row>
    <row r="6" spans="1:8" ht="21.75" customHeight="1">
      <c r="A6" s="3" t="s">
        <v>133</v>
      </c>
      <c r="B6" s="3"/>
      <c r="C6" s="3"/>
      <c r="D6" s="3"/>
      <c r="E6" s="3"/>
      <c r="F6" s="3"/>
      <c r="G6" s="3"/>
      <c r="H6" s="3"/>
    </row>
    <row r="7" spans="1:8" ht="21.75" customHeight="1">
      <c r="A7" s="3"/>
      <c r="B7" s="3"/>
      <c r="C7" s="3"/>
      <c r="D7" s="3"/>
      <c r="E7" s="3"/>
      <c r="F7" s="3"/>
      <c r="G7" s="3"/>
      <c r="H7" s="3"/>
    </row>
    <row r="10" spans="1:8" ht="21.75" customHeight="1">
      <c r="A10" s="4" t="s">
        <v>134</v>
      </c>
      <c r="B10" s="4" t="s">
        <v>135</v>
      </c>
      <c r="C10" s="4" t="s">
        <v>136</v>
      </c>
      <c r="D10" s="4" t="s">
        <v>137</v>
      </c>
      <c r="E10" s="4" t="s">
        <v>138</v>
      </c>
      <c r="F10" s="4" t="s">
        <v>139</v>
      </c>
      <c r="G10" s="4" t="s">
        <v>140</v>
      </c>
      <c r="H10" s="4" t="s">
        <v>141</v>
      </c>
    </row>
    <row r="11" spans="1:8" ht="33.75" customHeight="1">
      <c r="A11" s="5" t="s">
        <v>21</v>
      </c>
      <c r="B11" s="5">
        <f>COUNTIF('Chi tiet task'!$C$7:$C$24,A11)</f>
        <v>9</v>
      </c>
      <c r="C11" s="5">
        <f>SUMIF('Chi tiet task'!$C$7:$C$24,A11,'Chi tiet task'!$E$7:$E$24)</f>
        <v>36</v>
      </c>
      <c r="D11" s="5">
        <f>SUMIF('Chi tiet task'!$C$7:$C$24,A11,'Chi tiet task'!$I$7:$I$24)</f>
        <v>0</v>
      </c>
      <c r="E11" s="5">
        <f>SUMPRODUCT(('Chi tiet task'!$C$7:$C$24=A11)*'Chi tiet task'!$E$7:$E$24*'Chi tiet task'!$I$7:$I$24)</f>
        <v>0</v>
      </c>
      <c r="F11" s="6">
        <f>IFERROR(D11/B11,0)</f>
        <v>0.0</v>
      </c>
      <c r="G11" s="6">
        <f>IFERROR(E11/C11,0)</f>
        <v>0.0</v>
      </c>
      <c r="H11" s="5" t="s">
        <v>22</v>
      </c>
    </row>
    <row r="12" spans="1:8" ht="33.75" customHeight="1">
      <c r="A12" s="5" t="s">
        <v>22</v>
      </c>
      <c r="B12" s="5">
        <f>COUNTIF('Chi tiet task'!$C$7:$C$24,A12)</f>
        <v>9</v>
      </c>
      <c r="C12" s="5">
        <f>SUMIF('Chi tiet task'!$C$7:$C$24,A12,'Chi tiet task'!$E$7:$E$24)</f>
        <v>36</v>
      </c>
      <c r="D12" s="5">
        <f>SUMIF('Chi tiet task'!$C$7:$C$24,A12,'Chi tiet task'!$I$7:$I$24)</f>
        <v>0</v>
      </c>
      <c r="E12" s="5">
        <f>SUMPRODUCT(('Chi tiet task'!$C$7:$C$24=A12)*'Chi tiet task'!$E$7:$E$24*'Chi tiet task'!$I$7:$I$24)</f>
        <v>0</v>
      </c>
      <c r="F12" s="6">
        <f>IFERROR(D12/B12,0)</f>
        <v>0.0</v>
      </c>
      <c r="G12" s="6">
        <f>IFERROR(E12/C12,0)</f>
        <v>0.0</v>
      </c>
      <c r="H12" s="5" t="s">
        <v>21</v>
      </c>
    </row>
    <row r="13" spans="1:8" ht="21.75" customHeight="1">
      <c r="A13" s="7" t="s">
        <v>142</v>
      </c>
      <c r="B13" s="7">
        <f>SUM(B11:B12)</f>
        <v>18</v>
      </c>
      <c r="C13" s="7">
        <f>SUM(C11:C12)</f>
        <v>72</v>
      </c>
      <c r="D13" s="7">
        <f>SUM(D11:D12)</f>
        <v>0</v>
      </c>
      <c r="E13" s="7">
        <f>SUM(E11:E12)</f>
        <v>0</v>
      </c>
      <c r="F13" s="6">
        <f>IFERROR(D13/B13,0)</f>
        <v>0.0</v>
      </c>
      <c r="G13" s="6">
        <f>IFERROR(E13/C13,0)</f>
        <v>0.0</v>
      </c>
    </row>
    <row r="31" spans="1:8" ht="21.75" customHeight="1">
      <c r="A31" s="7" t="s">
        <v>143</v>
      </c>
      <c r="B31" s="7"/>
      <c r="C31" s="7"/>
      <c r="D31" s="7"/>
      <c r="E31" s="7"/>
      <c r="F31" s="7"/>
      <c r="G31" s="7"/>
      <c r="H31" s="7"/>
    </row>
    <row r="32" spans="1:8" ht="21.75" customHeight="1">
      <c r="A32" s="5" t="s">
        <v>144</v>
      </c>
      <c r="B32" s="5"/>
      <c r="C32" s="5"/>
      <c r="D32" s="5"/>
      <c r="E32" s="5"/>
      <c r="F32" s="5"/>
      <c r="G32" s="5"/>
      <c r="H32" s="5"/>
    </row>
    <row r="33" spans="1:8" ht="21.75" customHeight="1">
      <c r="A33" s="5"/>
      <c r="B33" s="5"/>
      <c r="C33" s="5"/>
      <c r="D33" s="5"/>
      <c r="E33" s="5"/>
      <c r="F33" s="5"/>
      <c r="G33" s="5"/>
      <c r="H33" s="5"/>
    </row>
    <row r="34" spans="1:8" ht="21.75" customHeight="1">
      <c r="A34" s="5"/>
      <c r="B34" s="5"/>
      <c r="C34" s="5"/>
      <c r="D34" s="5"/>
      <c r="E34" s="5"/>
      <c r="F34" s="5"/>
      <c r="G34" s="5"/>
      <c r="H34" s="5"/>
    </row>
    <row r="36" spans="1:8" ht="21.75" customHeight="1">
      <c r="A36" s="3" t="s">
        <v>145</v>
      </c>
      <c r="B36" s="3"/>
      <c r="C36" s="3"/>
      <c r="D36" s="3"/>
      <c r="E36" s="3"/>
      <c r="F36" s="3"/>
      <c r="G36" s="3"/>
      <c r="H36" s="3"/>
    </row>
    <row r="37" spans="1:8" ht="21.75" customHeight="1">
      <c r="A37" s="3"/>
      <c r="B37" s="3"/>
      <c r="C37" s="3"/>
      <c r="D37" s="3"/>
      <c r="E37" s="3"/>
      <c r="F37" s="3"/>
      <c r="G37" s="3"/>
      <c r="H37" s="3"/>
    </row>
    <row r="38" spans="1:8" ht="21.75" customHeight="1">
      <c r="A38" s="3"/>
      <c r="B38" s="3"/>
      <c r="C38" s="3"/>
      <c r="D38" s="3"/>
      <c r="E38" s="3"/>
      <c r="F38" s="3"/>
      <c r="G38" s="3"/>
      <c r="H38" s="3"/>
    </row>
    <row r="40" spans="1:8" ht="21.75" customHeight="1">
      <c r="A40" s="8" t="s">
        <v>146</v>
      </c>
      <c r="E40" s="8" t="s">
        <v>147</v>
      </c>
    </row>
  </sheetData>
  <mergeCells count="7">
    <mergeCell ref="A1:H2"/>
    <mergeCell ref="A3:H3"/>
    <mergeCell ref="A4:H4"/>
    <mergeCell ref="A6:H7"/>
    <mergeCell ref="A31:H31"/>
    <mergeCell ref="A32:H34"/>
    <mergeCell ref="A36:H38"/>
  </mergeCells>
  <conditionalFormatting sqref="F11:G13">
    <cfRule type="colorScale" priority="1">
      <colorScale>
        <cfvo type="num" val="0"/>
        <cfvo type="num" val="0.5"/>
        <cfvo type="num" val="1"/>
        <color rgb="FFF3F5F7"/>
        <color rgb="FFFFF2CC"/>
        <color rgb="FFC6E0B4"/>
      </colorScale>
    </cfRule>
  </conditionalFormatting>
  <hyperlinks>
    <hyperlink ref="A40" r:id="rId1"/>
    <hyperlink ref="E40" r:id="rId2"/>
  </hyperlinks>
  <pageMargins left="0.3" right="0.3" top="0.4" bottom="0.4" header="0.3" footer="0.3"/>
  <pageSetup paperSize="9" orientation="landscape"/>
  <headerFooter>
    <oddFooter>&amp;LTHU THANH | 11–31/10/2026&amp;RTrang &amp;P / &amp;N</oddFooter>
  </headerFooter>
  <drawing r:id="rId3"/>
</worksheet>
</file>

<file path=xl/worksheets/sheet2.xml><?xml version="1.0" encoding="utf-8"?>
<worksheet xmlns="http://schemas.openxmlformats.org/spreadsheetml/2006/main" xmlns:r="http://schemas.openxmlformats.org/officeDocument/2006/relationships">
  <sheetPr>
    <tabColor rgb="FF17365D"/>
    <pageSetUpPr fitToPage="1"/>
  </sheetPr>
  <dimension ref="A1:H35"/>
  <sheetViews>
    <sheetView showGridLines="0" workbookViewId="0">
      <pane xSplit="2" ySplit="8" topLeftCell="C9" activePane="bottomRight" state="frozen"/>
      <selection pane="topRight" activeCell="C1" sqref="C1"/>
      <selection pane="bottomLeft" activeCell="A9" sqref="A9"/>
      <selection pane="bottomRight"/>
    </sheetView>
  </sheetViews>
  <sheetFormatPr defaultRowHeight="21.75" customHeight="1"/>
  <cols>
    <col min="1" max="1" width="9.7109375" customWidth="1"/>
    <col min="2" max="3" width="10.7109375" customWidth="1"/>
    <col min="4" max="4" width="7.7109375" customWidth="1"/>
    <col min="5" max="5" width="30.7109375" customWidth="1"/>
    <col min="6" max="6" width="42.7109375" customWidth="1"/>
    <col min="7" max="7" width="36.7109375" customWidth="1"/>
    <col min="8" max="8" width="12.7109375" customWidth="1"/>
  </cols>
  <sheetData>
    <row r="1" spans="1:8" ht="21.75" customHeight="1">
      <c r="A1" s="1" t="s">
        <v>148</v>
      </c>
      <c r="B1" s="1"/>
      <c r="C1" s="1"/>
      <c r="D1" s="1"/>
      <c r="E1" s="1"/>
      <c r="F1" s="1"/>
      <c r="G1" s="1"/>
      <c r="H1" s="1"/>
    </row>
    <row r="2" spans="1:8" ht="21.75" customHeight="1">
      <c r="A2" s="1"/>
      <c r="B2" s="1"/>
      <c r="C2" s="1"/>
      <c r="D2" s="1"/>
      <c r="E2" s="1"/>
      <c r="F2" s="1"/>
      <c r="G2" s="1"/>
      <c r="H2" s="1"/>
    </row>
    <row r="3" spans="1:8" ht="21.75" customHeight="1">
      <c r="A3" s="3" t="s">
        <v>149</v>
      </c>
      <c r="B3" s="3"/>
      <c r="C3" s="3"/>
      <c r="D3" s="3"/>
      <c r="E3" s="3"/>
      <c r="F3" s="3"/>
      <c r="G3" s="3"/>
      <c r="H3" s="3"/>
    </row>
    <row r="4" spans="1:8" ht="21.75" customHeight="1">
      <c r="A4" s="3"/>
      <c r="B4" s="3"/>
      <c r="C4" s="3"/>
      <c r="D4" s="3"/>
      <c r="E4" s="3"/>
      <c r="F4" s="3"/>
      <c r="G4" s="3"/>
      <c r="H4" s="3"/>
    </row>
    <row r="7" spans="1:8" ht="30" customHeight="1">
      <c r="A7" s="7" t="s">
        <v>150</v>
      </c>
      <c r="B7" s="7"/>
      <c r="C7" s="7"/>
      <c r="D7" s="7"/>
      <c r="E7" s="7"/>
      <c r="F7" s="7"/>
      <c r="G7" s="7"/>
      <c r="H7" s="7"/>
    </row>
    <row r="8" spans="1:8" ht="36" customHeight="1">
      <c r="A8" s="4" t="s">
        <v>3</v>
      </c>
      <c r="B8" s="4" t="s">
        <v>151</v>
      </c>
      <c r="C8" s="4" t="s">
        <v>141</v>
      </c>
      <c r="D8" s="4" t="s">
        <v>7</v>
      </c>
      <c r="E8" s="4" t="s">
        <v>152</v>
      </c>
      <c r="F8" s="4" t="s">
        <v>153</v>
      </c>
      <c r="G8" s="4" t="s">
        <v>154</v>
      </c>
      <c r="H8" s="4" t="s">
        <v>155</v>
      </c>
    </row>
    <row r="9" spans="1:8" ht="80.25" customHeight="1">
      <c r="A9" s="5" t="s">
        <v>19</v>
      </c>
      <c r="B9" s="5" t="s">
        <v>21</v>
      </c>
      <c r="C9" s="5" t="s">
        <v>22</v>
      </c>
      <c r="D9" s="5">
        <v>3</v>
      </c>
      <c r="E9" s="5" t="s">
        <v>20</v>
      </c>
      <c r="F9" s="5" t="s">
        <v>156</v>
      </c>
      <c r="G9" s="5" t="s">
        <v>26</v>
      </c>
      <c r="H9" s="6">
        <f>'Chi tiet task'!I7</f>
        <v>0</v>
      </c>
    </row>
    <row r="10" spans="1:8" ht="80.25" customHeight="1">
      <c r="A10" s="5" t="s">
        <v>31</v>
      </c>
      <c r="B10" s="5" t="s">
        <v>21</v>
      </c>
      <c r="C10" s="5" t="s">
        <v>22</v>
      </c>
      <c r="D10" s="5">
        <v>5</v>
      </c>
      <c r="E10" s="5" t="s">
        <v>32</v>
      </c>
      <c r="F10" s="5" t="s">
        <v>157</v>
      </c>
      <c r="G10" s="5" t="s">
        <v>34</v>
      </c>
      <c r="H10" s="6">
        <f>'Chi tiet task'!I8</f>
        <v>0</v>
      </c>
    </row>
    <row r="11" spans="1:8" ht="80.25" customHeight="1">
      <c r="A11" s="5" t="s">
        <v>38</v>
      </c>
      <c r="B11" s="5" t="s">
        <v>22</v>
      </c>
      <c r="C11" s="5" t="s">
        <v>21</v>
      </c>
      <c r="D11" s="5">
        <v>4</v>
      </c>
      <c r="E11" s="5" t="s">
        <v>39</v>
      </c>
      <c r="F11" s="5" t="s">
        <v>158</v>
      </c>
      <c r="G11" s="5" t="s">
        <v>41</v>
      </c>
      <c r="H11" s="6">
        <f>'Chi tiet task'!I9</f>
        <v>0</v>
      </c>
    </row>
    <row r="12" spans="1:8" ht="35.25" customHeight="1">
      <c r="A12" s="3" t="s">
        <v>159</v>
      </c>
      <c r="B12" s="3"/>
      <c r="C12" s="3"/>
      <c r="D12" s="3"/>
      <c r="E12" s="3"/>
      <c r="F12" s="3"/>
      <c r="G12" s="3"/>
      <c r="H12" s="3"/>
    </row>
    <row r="14" spans="1:8" ht="30" customHeight="1">
      <c r="A14" s="7" t="s">
        <v>160</v>
      </c>
      <c r="B14" s="7"/>
      <c r="C14" s="7"/>
      <c r="D14" s="7"/>
      <c r="E14" s="7"/>
      <c r="F14" s="7"/>
      <c r="G14" s="7"/>
      <c r="H14" s="7"/>
    </row>
    <row r="15" spans="1:8" ht="36" customHeight="1">
      <c r="A15" s="4" t="s">
        <v>3</v>
      </c>
      <c r="B15" s="4" t="s">
        <v>151</v>
      </c>
      <c r="C15" s="4" t="s">
        <v>141</v>
      </c>
      <c r="D15" s="4" t="s">
        <v>7</v>
      </c>
      <c r="E15" s="4" t="s">
        <v>152</v>
      </c>
      <c r="F15" s="4" t="s">
        <v>153</v>
      </c>
      <c r="G15" s="4" t="s">
        <v>154</v>
      </c>
      <c r="H15" s="4" t="s">
        <v>155</v>
      </c>
    </row>
    <row r="16" spans="1:8" ht="80.25" customHeight="1">
      <c r="A16" s="5" t="s">
        <v>44</v>
      </c>
      <c r="B16" s="5" t="s">
        <v>21</v>
      </c>
      <c r="C16" s="5" t="s">
        <v>22</v>
      </c>
      <c r="D16" s="5">
        <v>4</v>
      </c>
      <c r="E16" s="5" t="s">
        <v>45</v>
      </c>
      <c r="F16" s="5" t="s">
        <v>161</v>
      </c>
      <c r="G16" s="5" t="s">
        <v>48</v>
      </c>
      <c r="H16" s="6">
        <f>'Chi tiet task'!I10</f>
        <v>0</v>
      </c>
    </row>
    <row r="17" spans="1:8" ht="80.25" customHeight="1">
      <c r="A17" s="5" t="s">
        <v>50</v>
      </c>
      <c r="B17" s="5" t="s">
        <v>22</v>
      </c>
      <c r="C17" s="5" t="s">
        <v>21</v>
      </c>
      <c r="D17" s="5">
        <v>2</v>
      </c>
      <c r="E17" s="5" t="s">
        <v>51</v>
      </c>
      <c r="F17" s="5" t="s">
        <v>162</v>
      </c>
      <c r="G17" s="5" t="s">
        <v>53</v>
      </c>
      <c r="H17" s="6">
        <f>'Chi tiet task'!I11</f>
        <v>0</v>
      </c>
    </row>
    <row r="18" spans="1:8" ht="80.25" customHeight="1">
      <c r="A18" s="5" t="s">
        <v>55</v>
      </c>
      <c r="B18" s="5" t="s">
        <v>21</v>
      </c>
      <c r="C18" s="5" t="s">
        <v>22</v>
      </c>
      <c r="D18" s="5">
        <v>4</v>
      </c>
      <c r="E18" s="5" t="s">
        <v>56</v>
      </c>
      <c r="F18" s="5" t="s">
        <v>163</v>
      </c>
      <c r="G18" s="5" t="s">
        <v>58</v>
      </c>
      <c r="H18" s="6">
        <f>'Chi tiet task'!I12</f>
        <v>0</v>
      </c>
    </row>
    <row r="19" spans="1:8" ht="80.25" customHeight="1">
      <c r="A19" s="5" t="s">
        <v>61</v>
      </c>
      <c r="B19" s="5" t="s">
        <v>21</v>
      </c>
      <c r="C19" s="5" t="s">
        <v>22</v>
      </c>
      <c r="D19" s="5">
        <v>3</v>
      </c>
      <c r="E19" s="5" t="s">
        <v>62</v>
      </c>
      <c r="F19" s="5" t="s">
        <v>164</v>
      </c>
      <c r="G19" s="5" t="s">
        <v>64</v>
      </c>
      <c r="H19" s="6">
        <f>'Chi tiet task'!I13</f>
        <v>0</v>
      </c>
    </row>
    <row r="20" spans="1:8" ht="80.25" customHeight="1">
      <c r="A20" s="5" t="s">
        <v>66</v>
      </c>
      <c r="B20" s="5" t="s">
        <v>22</v>
      </c>
      <c r="C20" s="5" t="s">
        <v>21</v>
      </c>
      <c r="D20" s="5">
        <v>5</v>
      </c>
      <c r="E20" s="5" t="s">
        <v>67</v>
      </c>
      <c r="F20" s="5" t="s">
        <v>165</v>
      </c>
      <c r="G20" s="5" t="s">
        <v>69</v>
      </c>
      <c r="H20" s="6">
        <f>'Chi tiet task'!I14</f>
        <v>0</v>
      </c>
    </row>
    <row r="21" spans="1:8" ht="80.25" customHeight="1">
      <c r="A21" s="5" t="s">
        <v>84</v>
      </c>
      <c r="B21" s="5" t="s">
        <v>21</v>
      </c>
      <c r="C21" s="5" t="s">
        <v>22</v>
      </c>
      <c r="D21" s="5">
        <v>4</v>
      </c>
      <c r="E21" s="5" t="s">
        <v>85</v>
      </c>
      <c r="F21" s="5" t="s">
        <v>166</v>
      </c>
      <c r="G21" s="5" t="s">
        <v>87</v>
      </c>
      <c r="H21" s="6">
        <f>'Chi tiet task'!I17</f>
        <v>0</v>
      </c>
    </row>
    <row r="22" spans="1:8" ht="80.25" customHeight="1">
      <c r="A22" s="5" t="s">
        <v>90</v>
      </c>
      <c r="B22" s="5" t="s">
        <v>21</v>
      </c>
      <c r="C22" s="5" t="s">
        <v>22</v>
      </c>
      <c r="D22" s="5">
        <v>4</v>
      </c>
      <c r="E22" s="5" t="s">
        <v>91</v>
      </c>
      <c r="F22" s="5" t="s">
        <v>167</v>
      </c>
      <c r="G22" s="5" t="s">
        <v>93</v>
      </c>
      <c r="H22" s="6">
        <f>'Chi tiet task'!I18</f>
        <v>0</v>
      </c>
    </row>
    <row r="23" spans="1:8" ht="80.25" customHeight="1">
      <c r="A23" s="5" t="s">
        <v>95</v>
      </c>
      <c r="B23" s="5" t="s">
        <v>22</v>
      </c>
      <c r="C23" s="5" t="s">
        <v>21</v>
      </c>
      <c r="D23" s="5">
        <v>4</v>
      </c>
      <c r="E23" s="5" t="s">
        <v>96</v>
      </c>
      <c r="F23" s="5" t="s">
        <v>168</v>
      </c>
      <c r="G23" s="5" t="s">
        <v>98</v>
      </c>
      <c r="H23" s="6">
        <f>'Chi tiet task'!I19</f>
        <v>0</v>
      </c>
    </row>
    <row r="24" spans="1:8" ht="80.25" customHeight="1">
      <c r="A24" s="5" t="s">
        <v>100</v>
      </c>
      <c r="B24" s="5" t="s">
        <v>22</v>
      </c>
      <c r="C24" s="5" t="s">
        <v>21</v>
      </c>
      <c r="D24" s="5">
        <v>4</v>
      </c>
      <c r="E24" s="5" t="s">
        <v>101</v>
      </c>
      <c r="F24" s="5" t="s">
        <v>169</v>
      </c>
      <c r="G24" s="5" t="s">
        <v>103</v>
      </c>
      <c r="H24" s="6">
        <f>'Chi tiet task'!I20</f>
        <v>0</v>
      </c>
    </row>
    <row r="25" spans="1:8" ht="80.25" customHeight="1">
      <c r="A25" s="5" t="s">
        <v>106</v>
      </c>
      <c r="B25" s="5" t="s">
        <v>21</v>
      </c>
      <c r="C25" s="5" t="s">
        <v>22</v>
      </c>
      <c r="D25" s="5">
        <v>4</v>
      </c>
      <c r="E25" s="5" t="s">
        <v>107</v>
      </c>
      <c r="F25" s="5" t="s">
        <v>170</v>
      </c>
      <c r="G25" s="5" t="s">
        <v>109</v>
      </c>
      <c r="H25" s="6">
        <f>'Chi tiet task'!I21</f>
        <v>0</v>
      </c>
    </row>
    <row r="26" spans="1:8" ht="35.25" customHeight="1">
      <c r="A26" s="3" t="s">
        <v>171</v>
      </c>
      <c r="B26" s="3"/>
      <c r="C26" s="3"/>
      <c r="D26" s="3"/>
      <c r="E26" s="3"/>
      <c r="F26" s="3"/>
      <c r="G26" s="3"/>
      <c r="H26" s="3"/>
    </row>
    <row r="28" spans="1:8" ht="30" customHeight="1">
      <c r="A28" s="7" t="s">
        <v>172</v>
      </c>
      <c r="B28" s="7"/>
      <c r="C28" s="7"/>
      <c r="D28" s="7"/>
      <c r="E28" s="7"/>
      <c r="F28" s="7"/>
      <c r="G28" s="7"/>
      <c r="H28" s="7"/>
    </row>
    <row r="29" spans="1:8" ht="36" customHeight="1">
      <c r="A29" s="4" t="s">
        <v>3</v>
      </c>
      <c r="B29" s="4" t="s">
        <v>151</v>
      </c>
      <c r="C29" s="4" t="s">
        <v>141</v>
      </c>
      <c r="D29" s="4" t="s">
        <v>7</v>
      </c>
      <c r="E29" s="4" t="s">
        <v>152</v>
      </c>
      <c r="F29" s="4" t="s">
        <v>153</v>
      </c>
      <c r="G29" s="4" t="s">
        <v>154</v>
      </c>
      <c r="H29" s="4" t="s">
        <v>155</v>
      </c>
    </row>
    <row r="30" spans="1:8" ht="80.25" customHeight="1">
      <c r="A30" s="5" t="s">
        <v>71</v>
      </c>
      <c r="B30" s="5" t="s">
        <v>22</v>
      </c>
      <c r="C30" s="5" t="s">
        <v>21</v>
      </c>
      <c r="D30" s="5">
        <v>5</v>
      </c>
      <c r="E30" s="5" t="s">
        <v>72</v>
      </c>
      <c r="F30" s="5" t="s">
        <v>173</v>
      </c>
      <c r="G30" s="5" t="s">
        <v>75</v>
      </c>
      <c r="H30" s="6">
        <f>'Chi tiet task'!I15</f>
        <v>0</v>
      </c>
    </row>
    <row r="31" spans="1:8" ht="80.25" customHeight="1">
      <c r="A31" s="5" t="s">
        <v>78</v>
      </c>
      <c r="B31" s="5" t="s">
        <v>22</v>
      </c>
      <c r="C31" s="5" t="s">
        <v>21</v>
      </c>
      <c r="D31" s="5">
        <v>4</v>
      </c>
      <c r="E31" s="5" t="s">
        <v>79</v>
      </c>
      <c r="F31" s="5" t="s">
        <v>174</v>
      </c>
      <c r="G31" s="5" t="s">
        <v>81</v>
      </c>
      <c r="H31" s="6">
        <f>'Chi tiet task'!I16</f>
        <v>0</v>
      </c>
    </row>
    <row r="32" spans="1:8" ht="80.25" customHeight="1">
      <c r="A32" s="5" t="s">
        <v>111</v>
      </c>
      <c r="B32" s="5" t="s">
        <v>22</v>
      </c>
      <c r="C32" s="5" t="s">
        <v>21</v>
      </c>
      <c r="D32" s="5">
        <v>5</v>
      </c>
      <c r="E32" s="5" t="s">
        <v>112</v>
      </c>
      <c r="F32" s="5" t="s">
        <v>175</v>
      </c>
      <c r="G32" s="5" t="s">
        <v>114</v>
      </c>
      <c r="H32" s="6">
        <f>'Chi tiet task'!I22</f>
        <v>0</v>
      </c>
    </row>
    <row r="33" spans="1:8" ht="80.25" customHeight="1">
      <c r="A33" s="5" t="s">
        <v>117</v>
      </c>
      <c r="B33" s="5" t="s">
        <v>22</v>
      </c>
      <c r="C33" s="5" t="s">
        <v>21</v>
      </c>
      <c r="D33" s="5">
        <v>3</v>
      </c>
      <c r="E33" s="5" t="s">
        <v>118</v>
      </c>
      <c r="F33" s="5" t="s">
        <v>176</v>
      </c>
      <c r="G33" s="5" t="s">
        <v>120</v>
      </c>
      <c r="H33" s="6">
        <f>'Chi tiet task'!I23</f>
        <v>0</v>
      </c>
    </row>
    <row r="34" spans="1:8" ht="80.25" customHeight="1">
      <c r="A34" s="5" t="s">
        <v>123</v>
      </c>
      <c r="B34" s="5" t="s">
        <v>21</v>
      </c>
      <c r="C34" s="5" t="s">
        <v>22</v>
      </c>
      <c r="D34" s="5">
        <v>5</v>
      </c>
      <c r="E34" s="5" t="s">
        <v>124</v>
      </c>
      <c r="F34" s="5" t="s">
        <v>177</v>
      </c>
      <c r="G34" s="5" t="s">
        <v>126</v>
      </c>
      <c r="H34" s="6">
        <f>'Chi tiet task'!I24</f>
        <v>0</v>
      </c>
    </row>
    <row r="35" spans="1:8" ht="35.25" customHeight="1">
      <c r="A35" s="3" t="s">
        <v>178</v>
      </c>
      <c r="B35" s="3"/>
      <c r="C35" s="3"/>
      <c r="D35" s="3"/>
      <c r="E35" s="3"/>
      <c r="F35" s="3"/>
      <c r="G35" s="3"/>
      <c r="H35" s="3"/>
    </row>
  </sheetData>
  <mergeCells count="8">
    <mergeCell ref="A1:H2"/>
    <mergeCell ref="A3:H4"/>
    <mergeCell ref="A7:H7"/>
    <mergeCell ref="A12:H12"/>
    <mergeCell ref="A14:H14"/>
    <mergeCell ref="A26:H26"/>
    <mergeCell ref="A28:H28"/>
    <mergeCell ref="A35:H35"/>
  </mergeCells>
  <pageMargins left="0.3" right="0.3" top="0.4" bottom="0.4" header="0.3" footer="0.3"/>
  <pageSetup paperSize="9" fitToHeight="0" orientation="portrait"/>
  <headerFooter>
    <oddFooter>&amp;LTHU THANH | 11–31/10/2026&amp;RTrang &amp;P / &amp;N</oddFooter>
  </headerFooter>
  <rowBreaks count="2" manualBreakCount="2">
    <brk id="13" max="16383" man="1"/>
    <brk id="27" max="16383" man="1"/>
  </rowBreaks>
</worksheet>
</file>

<file path=xl/worksheets/sheet3.xml><?xml version="1.0" encoding="utf-8"?>
<worksheet xmlns="http://schemas.openxmlformats.org/spreadsheetml/2006/main" xmlns:r="http://schemas.openxmlformats.org/officeDocument/2006/relationships">
  <sheetPr>
    <tabColor rgb="FF17365D"/>
    <pageSetUpPr fitToPage="1"/>
  </sheetPr>
  <dimension ref="A1:P27"/>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21.75" customHeight="1"/>
  <cols>
    <col min="1" max="1" width="10.7109375" customWidth="1"/>
    <col min="2" max="2" width="43.7109375" customWidth="1"/>
    <col min="3" max="4" width="14.7109375" customWidth="1"/>
    <col min="5" max="5" width="10.7109375" customWidth="1"/>
    <col min="6" max="6" width="14.7109375" customWidth="1"/>
    <col min="7" max="8" width="15.7109375" customWidth="1"/>
    <col min="9" max="9" width="17.7109375" customWidth="1"/>
    <col min="10" max="10" width="22.7109375" customWidth="1"/>
    <col min="11" max="12" width="53.7109375" customWidth="1"/>
    <col min="13" max="13" width="52.7109375" customWidth="1"/>
    <col min="14" max="14" width="16.7109375" customWidth="1"/>
    <col min="15" max="16" width="20.7109375" customWidth="1"/>
  </cols>
  <sheetData>
    <row r="1" spans="1:16" ht="21.75" customHeight="1">
      <c r="A1" s="1" t="s">
        <v>0</v>
      </c>
      <c r="B1" s="1"/>
      <c r="C1" s="1"/>
      <c r="D1" s="1"/>
      <c r="E1" s="1"/>
      <c r="F1" s="1"/>
      <c r="G1" s="1"/>
      <c r="H1" s="1"/>
      <c r="I1" s="1"/>
      <c r="J1" s="1"/>
      <c r="K1" s="1"/>
      <c r="L1" s="1"/>
      <c r="M1" s="1"/>
      <c r="N1" s="1"/>
      <c r="O1" s="1"/>
      <c r="P1" s="1"/>
    </row>
    <row r="2" spans="1:16" ht="21.75" customHeight="1">
      <c r="A2" s="1"/>
      <c r="B2" s="1"/>
      <c r="C2" s="1"/>
      <c r="D2" s="1"/>
      <c r="E2" s="1"/>
      <c r="F2" s="1"/>
      <c r="G2" s="1"/>
      <c r="H2" s="1"/>
      <c r="I2" s="1"/>
      <c r="J2" s="1"/>
      <c r="K2" s="1"/>
      <c r="L2" s="1"/>
      <c r="M2" s="1"/>
      <c r="N2" s="1"/>
      <c r="O2" s="1"/>
      <c r="P2" s="1"/>
    </row>
    <row r="3" spans="1:16" ht="21.75" customHeight="1">
      <c r="A3" s="2" t="s">
        <v>1</v>
      </c>
      <c r="B3" s="2"/>
      <c r="C3" s="2"/>
      <c r="D3" s="2"/>
      <c r="E3" s="2"/>
      <c r="F3" s="2"/>
      <c r="G3" s="2"/>
      <c r="H3" s="2"/>
      <c r="I3" s="2"/>
      <c r="J3" s="2"/>
      <c r="K3" s="2"/>
      <c r="L3" s="2"/>
      <c r="M3" s="2"/>
      <c r="N3" s="2"/>
      <c r="O3" s="2"/>
      <c r="P3" s="2"/>
    </row>
    <row r="4" spans="1:16" ht="21.75" customHeight="1">
      <c r="A4" s="3" t="s">
        <v>2</v>
      </c>
      <c r="B4" s="3"/>
      <c r="C4" s="3"/>
      <c r="D4" s="3"/>
      <c r="E4" s="3"/>
      <c r="F4" s="3"/>
      <c r="G4" s="3"/>
      <c r="H4" s="3"/>
      <c r="I4" s="3"/>
      <c r="J4" s="3"/>
      <c r="K4" s="3"/>
      <c r="L4" s="3"/>
      <c r="M4" s="3"/>
      <c r="N4" s="3"/>
      <c r="O4" s="3"/>
      <c r="P4" s="3"/>
    </row>
    <row r="6" spans="1:16" ht="45.75" customHeight="1">
      <c r="A6" s="4" t="s">
        <v>3</v>
      </c>
      <c r="B6" s="4" t="s">
        <v>4</v>
      </c>
      <c r="C6" s="4" t="s">
        <v>5</v>
      </c>
      <c r="D6" s="4" t="s">
        <v>6</v>
      </c>
      <c r="E6" s="4" t="s">
        <v>7</v>
      </c>
      <c r="F6" s="4" t="s">
        <v>8</v>
      </c>
      <c r="G6" s="4" t="s">
        <v>9</v>
      </c>
      <c r="H6" s="4" t="s">
        <v>10</v>
      </c>
      <c r="I6" s="4" t="s">
        <v>11</v>
      </c>
      <c r="J6" s="4" t="s">
        <v>12</v>
      </c>
      <c r="K6" s="4" t="s">
        <v>13</v>
      </c>
      <c r="L6" s="4" t="s">
        <v>14</v>
      </c>
      <c r="M6" s="4" t="s">
        <v>15</v>
      </c>
      <c r="N6" s="4" t="s">
        <v>16</v>
      </c>
      <c r="O6" s="4" t="s">
        <v>17</v>
      </c>
      <c r="P6" s="4" t="s">
        <v>18</v>
      </c>
    </row>
    <row r="7" spans="1:16" ht="102" customHeight="1">
      <c r="A7" s="5" t="s">
        <v>19</v>
      </c>
      <c r="B7" s="5" t="s">
        <v>20</v>
      </c>
      <c r="C7" s="5" t="s">
        <v>21</v>
      </c>
      <c r="D7" s="5" t="s">
        <v>22</v>
      </c>
      <c r="E7" s="5">
        <v>3</v>
      </c>
      <c r="F7" s="5" t="s">
        <v>23</v>
      </c>
      <c r="G7" s="5" t="s">
        <v>24</v>
      </c>
      <c r="H7" s="5"/>
      <c r="I7" s="6">
        <f>IF(AND(G7="CLOSED",H7="COMPLETED"),1,0)</f>
        <v>0</v>
      </c>
      <c r="J7" s="9"/>
      <c r="K7" s="5" t="s">
        <v>25</v>
      </c>
      <c r="L7" s="5" t="s">
        <v>26</v>
      </c>
      <c r="M7" s="5" t="s">
        <v>27</v>
      </c>
      <c r="N7" s="8" t="s">
        <v>30</v>
      </c>
      <c r="O7" s="5" t="s">
        <v>28</v>
      </c>
      <c r="P7" s="5" t="s">
        <v>29</v>
      </c>
    </row>
    <row r="8" spans="1:16" ht="102" customHeight="1">
      <c r="A8" s="10" t="s">
        <v>31</v>
      </c>
      <c r="B8" s="10" t="s">
        <v>32</v>
      </c>
      <c r="C8" s="10" t="s">
        <v>21</v>
      </c>
      <c r="D8" s="10" t="s">
        <v>22</v>
      </c>
      <c r="E8" s="10">
        <v>5</v>
      </c>
      <c r="F8" s="10" t="s">
        <v>23</v>
      </c>
      <c r="G8" s="10" t="s">
        <v>24</v>
      </c>
      <c r="H8" s="10"/>
      <c r="I8" s="6">
        <f>IF(AND(G8="CLOSED",H8="COMPLETED"),1,0)</f>
        <v>0</v>
      </c>
      <c r="J8" s="9"/>
      <c r="K8" s="10" t="s">
        <v>33</v>
      </c>
      <c r="L8" s="10" t="s">
        <v>34</v>
      </c>
      <c r="M8" s="10" t="s">
        <v>35</v>
      </c>
      <c r="N8" s="8" t="s">
        <v>37</v>
      </c>
      <c r="O8" s="10" t="s">
        <v>36</v>
      </c>
      <c r="P8" s="10" t="s">
        <v>29</v>
      </c>
    </row>
    <row r="9" spans="1:16" ht="102" customHeight="1">
      <c r="A9" s="5" t="s">
        <v>38</v>
      </c>
      <c r="B9" s="5" t="s">
        <v>39</v>
      </c>
      <c r="C9" s="5" t="s">
        <v>22</v>
      </c>
      <c r="D9" s="5" t="s">
        <v>21</v>
      </c>
      <c r="E9" s="5">
        <v>4</v>
      </c>
      <c r="F9" s="5" t="s">
        <v>23</v>
      </c>
      <c r="G9" s="5" t="s">
        <v>24</v>
      </c>
      <c r="H9" s="5"/>
      <c r="I9" s="6">
        <f>IF(AND(G9="CLOSED",H9="COMPLETED"),1,0)</f>
        <v>0</v>
      </c>
      <c r="J9" s="9"/>
      <c r="K9" s="5" t="s">
        <v>40</v>
      </c>
      <c r="L9" s="5" t="s">
        <v>41</v>
      </c>
      <c r="M9" s="5" t="s">
        <v>42</v>
      </c>
      <c r="N9" s="8" t="s">
        <v>43</v>
      </c>
      <c r="O9" s="5" t="s">
        <v>36</v>
      </c>
      <c r="P9" s="5" t="s">
        <v>29</v>
      </c>
    </row>
    <row r="10" spans="1:16" ht="102" customHeight="1">
      <c r="A10" s="10" t="s">
        <v>44</v>
      </c>
      <c r="B10" s="10" t="s">
        <v>45</v>
      </c>
      <c r="C10" s="10" t="s">
        <v>21</v>
      </c>
      <c r="D10" s="10" t="s">
        <v>22</v>
      </c>
      <c r="E10" s="10">
        <v>4</v>
      </c>
      <c r="F10" s="10" t="s">
        <v>46</v>
      </c>
      <c r="G10" s="10" t="s">
        <v>24</v>
      </c>
      <c r="H10" s="10"/>
      <c r="I10" s="6">
        <f>IF(AND(G10="CLOSED",H10="COMPLETED"),1,0)</f>
        <v>0</v>
      </c>
      <c r="J10" s="9"/>
      <c r="K10" s="10" t="s">
        <v>47</v>
      </c>
      <c r="L10" s="10" t="s">
        <v>48</v>
      </c>
      <c r="M10" s="10" t="s">
        <v>27</v>
      </c>
      <c r="N10" s="8" t="s">
        <v>49</v>
      </c>
      <c r="O10" s="10" t="s">
        <v>36</v>
      </c>
      <c r="P10" s="10" t="s">
        <v>29</v>
      </c>
    </row>
    <row r="11" spans="1:16" ht="102" customHeight="1">
      <c r="A11" s="5" t="s">
        <v>50</v>
      </c>
      <c r="B11" s="5" t="s">
        <v>51</v>
      </c>
      <c r="C11" s="5" t="s">
        <v>22</v>
      </c>
      <c r="D11" s="5" t="s">
        <v>21</v>
      </c>
      <c r="E11" s="5">
        <v>2</v>
      </c>
      <c r="F11" s="5" t="s">
        <v>46</v>
      </c>
      <c r="G11" s="5" t="s">
        <v>24</v>
      </c>
      <c r="H11" s="5"/>
      <c r="I11" s="6">
        <f>IF(AND(G11="CLOSED",H11="COMPLETED"),1,0)</f>
        <v>0</v>
      </c>
      <c r="J11" s="9"/>
      <c r="K11" s="5" t="s">
        <v>52</v>
      </c>
      <c r="L11" s="5" t="s">
        <v>53</v>
      </c>
      <c r="M11" s="5" t="s">
        <v>27</v>
      </c>
      <c r="N11" s="8" t="s">
        <v>54</v>
      </c>
      <c r="O11" s="5" t="s">
        <v>36</v>
      </c>
      <c r="P11" s="5" t="s">
        <v>29</v>
      </c>
    </row>
    <row r="12" spans="1:16" ht="102" customHeight="1">
      <c r="A12" s="10" t="s">
        <v>55</v>
      </c>
      <c r="B12" s="10" t="s">
        <v>56</v>
      </c>
      <c r="C12" s="10" t="s">
        <v>21</v>
      </c>
      <c r="D12" s="10" t="s">
        <v>22</v>
      </c>
      <c r="E12" s="10">
        <v>4</v>
      </c>
      <c r="F12" s="10" t="s">
        <v>46</v>
      </c>
      <c r="G12" s="10" t="s">
        <v>24</v>
      </c>
      <c r="H12" s="10"/>
      <c r="I12" s="6">
        <f>IF(AND(G12="CLOSED",H12="COMPLETED"),1,0)</f>
        <v>0</v>
      </c>
      <c r="J12" s="9"/>
      <c r="K12" s="10" t="s">
        <v>57</v>
      </c>
      <c r="L12" s="10" t="s">
        <v>58</v>
      </c>
      <c r="M12" s="10" t="s">
        <v>59</v>
      </c>
      <c r="N12" s="8" t="s">
        <v>60</v>
      </c>
      <c r="O12" s="10" t="s">
        <v>36</v>
      </c>
      <c r="P12" s="10" t="s">
        <v>29</v>
      </c>
    </row>
    <row r="13" spans="1:16" ht="102" customHeight="1">
      <c r="A13" s="5" t="s">
        <v>61</v>
      </c>
      <c r="B13" s="5" t="s">
        <v>62</v>
      </c>
      <c r="C13" s="5" t="s">
        <v>21</v>
      </c>
      <c r="D13" s="5" t="s">
        <v>22</v>
      </c>
      <c r="E13" s="5">
        <v>3</v>
      </c>
      <c r="F13" s="5" t="s">
        <v>46</v>
      </c>
      <c r="G13" s="5" t="s">
        <v>24</v>
      </c>
      <c r="H13" s="5"/>
      <c r="I13" s="6">
        <f>IF(AND(G13="CLOSED",H13="COMPLETED"),1,0)</f>
        <v>0</v>
      </c>
      <c r="J13" s="9"/>
      <c r="K13" s="5" t="s">
        <v>63</v>
      </c>
      <c r="L13" s="5" t="s">
        <v>64</v>
      </c>
      <c r="M13" s="5" t="s">
        <v>27</v>
      </c>
      <c r="N13" s="8" t="s">
        <v>65</v>
      </c>
      <c r="O13" s="5" t="s">
        <v>36</v>
      </c>
      <c r="P13" s="5" t="s">
        <v>29</v>
      </c>
    </row>
    <row r="14" spans="1:16" ht="102" customHeight="1">
      <c r="A14" s="10" t="s">
        <v>66</v>
      </c>
      <c r="B14" s="10" t="s">
        <v>67</v>
      </c>
      <c r="C14" s="10" t="s">
        <v>22</v>
      </c>
      <c r="D14" s="10" t="s">
        <v>21</v>
      </c>
      <c r="E14" s="10">
        <v>5</v>
      </c>
      <c r="F14" s="10" t="s">
        <v>46</v>
      </c>
      <c r="G14" s="10" t="s">
        <v>24</v>
      </c>
      <c r="H14" s="10"/>
      <c r="I14" s="6">
        <f>IF(AND(G14="CLOSED",H14="COMPLETED"),1,0)</f>
        <v>0</v>
      </c>
      <c r="J14" s="9"/>
      <c r="K14" s="10" t="s">
        <v>68</v>
      </c>
      <c r="L14" s="10" t="s">
        <v>69</v>
      </c>
      <c r="M14" s="10" t="s">
        <v>27</v>
      </c>
      <c r="N14" s="8" t="s">
        <v>70</v>
      </c>
      <c r="O14" s="10" t="s">
        <v>36</v>
      </c>
      <c r="P14" s="10" t="s">
        <v>29</v>
      </c>
    </row>
    <row r="15" spans="1:16" ht="102" customHeight="1">
      <c r="A15" s="5" t="s">
        <v>71</v>
      </c>
      <c r="B15" s="5" t="s">
        <v>72</v>
      </c>
      <c r="C15" s="5" t="s">
        <v>22</v>
      </c>
      <c r="D15" s="5" t="s">
        <v>21</v>
      </c>
      <c r="E15" s="5">
        <v>5</v>
      </c>
      <c r="F15" s="5" t="s">
        <v>73</v>
      </c>
      <c r="G15" s="5" t="s">
        <v>24</v>
      </c>
      <c r="H15" s="5"/>
      <c r="I15" s="6">
        <f>IF(AND(G15="CLOSED",H15="COMPLETED"),1,0)</f>
        <v>0</v>
      </c>
      <c r="J15" s="9"/>
      <c r="K15" s="5" t="s">
        <v>74</v>
      </c>
      <c r="L15" s="5" t="s">
        <v>75</v>
      </c>
      <c r="M15" s="5" t="s">
        <v>76</v>
      </c>
      <c r="N15" s="8" t="s">
        <v>77</v>
      </c>
      <c r="O15" s="5" t="s">
        <v>36</v>
      </c>
      <c r="P15" s="5" t="s">
        <v>29</v>
      </c>
    </row>
    <row r="16" spans="1:16" ht="102" customHeight="1">
      <c r="A16" s="10" t="s">
        <v>78</v>
      </c>
      <c r="B16" s="10" t="s">
        <v>79</v>
      </c>
      <c r="C16" s="10" t="s">
        <v>22</v>
      </c>
      <c r="D16" s="10" t="s">
        <v>21</v>
      </c>
      <c r="E16" s="10">
        <v>4</v>
      </c>
      <c r="F16" s="10" t="s">
        <v>73</v>
      </c>
      <c r="G16" s="10" t="s">
        <v>24</v>
      </c>
      <c r="H16" s="10"/>
      <c r="I16" s="6">
        <f>IF(AND(G16="CLOSED",H16="COMPLETED"),1,0)</f>
        <v>0</v>
      </c>
      <c r="J16" s="9"/>
      <c r="K16" s="10" t="s">
        <v>80</v>
      </c>
      <c r="L16" s="10" t="s">
        <v>81</v>
      </c>
      <c r="M16" s="10" t="s">
        <v>82</v>
      </c>
      <c r="N16" s="8" t="s">
        <v>83</v>
      </c>
      <c r="O16" s="10" t="s">
        <v>36</v>
      </c>
      <c r="P16" s="10" t="s">
        <v>29</v>
      </c>
    </row>
    <row r="17" spans="1:16" ht="102" customHeight="1">
      <c r="A17" s="5" t="s">
        <v>84</v>
      </c>
      <c r="B17" s="5" t="s">
        <v>85</v>
      </c>
      <c r="C17" s="5" t="s">
        <v>21</v>
      </c>
      <c r="D17" s="5" t="s">
        <v>22</v>
      </c>
      <c r="E17" s="5">
        <v>4</v>
      </c>
      <c r="F17" s="5" t="s">
        <v>46</v>
      </c>
      <c r="G17" s="5" t="s">
        <v>24</v>
      </c>
      <c r="H17" s="5"/>
      <c r="I17" s="6">
        <f>IF(AND(G17="CLOSED",H17="COMPLETED"),1,0)</f>
        <v>0</v>
      </c>
      <c r="J17" s="9"/>
      <c r="K17" s="5" t="s">
        <v>86</v>
      </c>
      <c r="L17" s="5" t="s">
        <v>87</v>
      </c>
      <c r="M17" s="5" t="s">
        <v>88</v>
      </c>
      <c r="N17" s="8" t="s">
        <v>89</v>
      </c>
      <c r="O17" s="5" t="s">
        <v>36</v>
      </c>
      <c r="P17" s="5" t="s">
        <v>29</v>
      </c>
    </row>
    <row r="18" spans="1:16" ht="102" customHeight="1">
      <c r="A18" s="10" t="s">
        <v>90</v>
      </c>
      <c r="B18" s="10" t="s">
        <v>91</v>
      </c>
      <c r="C18" s="10" t="s">
        <v>21</v>
      </c>
      <c r="D18" s="10" t="s">
        <v>22</v>
      </c>
      <c r="E18" s="10">
        <v>4</v>
      </c>
      <c r="F18" s="10" t="s">
        <v>46</v>
      </c>
      <c r="G18" s="10" t="s">
        <v>24</v>
      </c>
      <c r="H18" s="10"/>
      <c r="I18" s="6">
        <f>IF(AND(G18="CLOSED",H18="COMPLETED"),1,0)</f>
        <v>0</v>
      </c>
      <c r="J18" s="9"/>
      <c r="K18" s="10" t="s">
        <v>92</v>
      </c>
      <c r="L18" s="10" t="s">
        <v>93</v>
      </c>
      <c r="M18" s="10" t="s">
        <v>27</v>
      </c>
      <c r="N18" s="8" t="s">
        <v>94</v>
      </c>
      <c r="O18" s="10" t="s">
        <v>36</v>
      </c>
      <c r="P18" s="10" t="s">
        <v>29</v>
      </c>
    </row>
    <row r="19" spans="1:16" ht="102" customHeight="1">
      <c r="A19" s="5" t="s">
        <v>95</v>
      </c>
      <c r="B19" s="5" t="s">
        <v>96</v>
      </c>
      <c r="C19" s="5" t="s">
        <v>22</v>
      </c>
      <c r="D19" s="5" t="s">
        <v>21</v>
      </c>
      <c r="E19" s="5">
        <v>4</v>
      </c>
      <c r="F19" s="5" t="s">
        <v>46</v>
      </c>
      <c r="G19" s="5" t="s">
        <v>24</v>
      </c>
      <c r="H19" s="5"/>
      <c r="I19" s="6">
        <f>IF(AND(G19="CLOSED",H19="COMPLETED"),1,0)</f>
        <v>0</v>
      </c>
      <c r="J19" s="9"/>
      <c r="K19" s="5" t="s">
        <v>97</v>
      </c>
      <c r="L19" s="5" t="s">
        <v>98</v>
      </c>
      <c r="M19" s="5" t="s">
        <v>27</v>
      </c>
      <c r="N19" s="8" t="s">
        <v>99</v>
      </c>
      <c r="O19" s="5" t="s">
        <v>36</v>
      </c>
      <c r="P19" s="5" t="s">
        <v>29</v>
      </c>
    </row>
    <row r="20" spans="1:16" ht="102" customHeight="1">
      <c r="A20" s="10" t="s">
        <v>100</v>
      </c>
      <c r="B20" s="10" t="s">
        <v>101</v>
      </c>
      <c r="C20" s="10" t="s">
        <v>22</v>
      </c>
      <c r="D20" s="10" t="s">
        <v>21</v>
      </c>
      <c r="E20" s="10">
        <v>4</v>
      </c>
      <c r="F20" s="10" t="s">
        <v>46</v>
      </c>
      <c r="G20" s="10" t="s">
        <v>24</v>
      </c>
      <c r="H20" s="10"/>
      <c r="I20" s="6">
        <f>IF(AND(G20="CLOSED",H20="COMPLETED"),1,0)</f>
        <v>0</v>
      </c>
      <c r="J20" s="9"/>
      <c r="K20" s="10" t="s">
        <v>102</v>
      </c>
      <c r="L20" s="10" t="s">
        <v>103</v>
      </c>
      <c r="M20" s="10" t="s">
        <v>104</v>
      </c>
      <c r="N20" s="8" t="s">
        <v>105</v>
      </c>
      <c r="O20" s="10" t="s">
        <v>36</v>
      </c>
      <c r="P20" s="10" t="s">
        <v>29</v>
      </c>
    </row>
    <row r="21" spans="1:16" ht="102" customHeight="1">
      <c r="A21" s="5" t="s">
        <v>106</v>
      </c>
      <c r="B21" s="5" t="s">
        <v>107</v>
      </c>
      <c r="C21" s="5" t="s">
        <v>21</v>
      </c>
      <c r="D21" s="5" t="s">
        <v>22</v>
      </c>
      <c r="E21" s="5">
        <v>4</v>
      </c>
      <c r="F21" s="5" t="s">
        <v>46</v>
      </c>
      <c r="G21" s="5" t="s">
        <v>24</v>
      </c>
      <c r="H21" s="5"/>
      <c r="I21" s="6">
        <f>IF(AND(G21="CLOSED",H21="COMPLETED"),1,0)</f>
        <v>0</v>
      </c>
      <c r="J21" s="9"/>
      <c r="K21" s="5" t="s">
        <v>108</v>
      </c>
      <c r="L21" s="5" t="s">
        <v>109</v>
      </c>
      <c r="M21" s="5" t="s">
        <v>27</v>
      </c>
      <c r="N21" s="8" t="s">
        <v>110</v>
      </c>
      <c r="O21" s="5" t="s">
        <v>36</v>
      </c>
      <c r="P21" s="5" t="s">
        <v>29</v>
      </c>
    </row>
    <row r="22" spans="1:16" ht="102" customHeight="1">
      <c r="A22" s="10" t="s">
        <v>111</v>
      </c>
      <c r="B22" s="10" t="s">
        <v>112</v>
      </c>
      <c r="C22" s="10" t="s">
        <v>22</v>
      </c>
      <c r="D22" s="10" t="s">
        <v>21</v>
      </c>
      <c r="E22" s="10">
        <v>5</v>
      </c>
      <c r="F22" s="10" t="s">
        <v>73</v>
      </c>
      <c r="G22" s="10" t="s">
        <v>24</v>
      </c>
      <c r="H22" s="10"/>
      <c r="I22" s="6">
        <f>IF(AND(G22="CLOSED",H22="COMPLETED"),1,0)</f>
        <v>0</v>
      </c>
      <c r="J22" s="9"/>
      <c r="K22" s="10" t="s">
        <v>113</v>
      </c>
      <c r="L22" s="10" t="s">
        <v>114</v>
      </c>
      <c r="M22" s="10" t="s">
        <v>115</v>
      </c>
      <c r="N22" s="8" t="s">
        <v>116</v>
      </c>
      <c r="O22" s="10" t="s">
        <v>36</v>
      </c>
      <c r="P22" s="10" t="s">
        <v>29</v>
      </c>
    </row>
    <row r="23" spans="1:16" ht="102" customHeight="1">
      <c r="A23" s="5" t="s">
        <v>117</v>
      </c>
      <c r="B23" s="5" t="s">
        <v>118</v>
      </c>
      <c r="C23" s="5" t="s">
        <v>22</v>
      </c>
      <c r="D23" s="5" t="s">
        <v>21</v>
      </c>
      <c r="E23" s="5">
        <v>3</v>
      </c>
      <c r="F23" s="5" t="s">
        <v>73</v>
      </c>
      <c r="G23" s="5" t="s">
        <v>24</v>
      </c>
      <c r="H23" s="5"/>
      <c r="I23" s="6">
        <f>IF(AND(G23="CLOSED",H23="COMPLETED"),1,0)</f>
        <v>0</v>
      </c>
      <c r="J23" s="9"/>
      <c r="K23" s="5" t="s">
        <v>119</v>
      </c>
      <c r="L23" s="5" t="s">
        <v>120</v>
      </c>
      <c r="M23" s="5" t="s">
        <v>121</v>
      </c>
      <c r="N23" s="8" t="s">
        <v>122</v>
      </c>
      <c r="O23" s="5" t="s">
        <v>36</v>
      </c>
      <c r="P23" s="5" t="s">
        <v>29</v>
      </c>
    </row>
    <row r="24" spans="1:16" ht="102" customHeight="1">
      <c r="A24" s="10" t="s">
        <v>123</v>
      </c>
      <c r="B24" s="10" t="s">
        <v>124</v>
      </c>
      <c r="C24" s="10" t="s">
        <v>21</v>
      </c>
      <c r="D24" s="10" t="s">
        <v>22</v>
      </c>
      <c r="E24" s="10">
        <v>5</v>
      </c>
      <c r="F24" s="10" t="s">
        <v>73</v>
      </c>
      <c r="G24" s="10" t="s">
        <v>24</v>
      </c>
      <c r="H24" s="10"/>
      <c r="I24" s="6">
        <f>IF(AND(G24="CLOSED",H24="COMPLETED"),1,0)</f>
        <v>0</v>
      </c>
      <c r="J24" s="9"/>
      <c r="K24" s="10" t="s">
        <v>125</v>
      </c>
      <c r="L24" s="10" t="s">
        <v>126</v>
      </c>
      <c r="M24" s="10" t="s">
        <v>127</v>
      </c>
      <c r="N24" s="8" t="s">
        <v>128</v>
      </c>
      <c r="O24" s="10" t="s">
        <v>36</v>
      </c>
      <c r="P24" s="10" t="s">
        <v>29</v>
      </c>
    </row>
    <row r="26" spans="1:16" ht="21.75" customHeight="1">
      <c r="A26" s="3" t="s">
        <v>129</v>
      </c>
      <c r="B26" s="3"/>
      <c r="C26" s="3"/>
      <c r="D26" s="3"/>
      <c r="E26" s="3"/>
      <c r="F26" s="3"/>
      <c r="G26" s="3"/>
      <c r="H26" s="3"/>
      <c r="I26" s="3"/>
      <c r="J26" s="3"/>
      <c r="K26" s="3"/>
      <c r="L26" s="3"/>
      <c r="M26" s="3"/>
      <c r="N26" s="3"/>
      <c r="O26" s="3"/>
      <c r="P26" s="3"/>
    </row>
    <row r="27" spans="1:16" ht="21.75" customHeight="1">
      <c r="A27" s="3"/>
      <c r="B27" s="3"/>
      <c r="C27" s="3"/>
      <c r="D27" s="3"/>
      <c r="E27" s="3"/>
      <c r="F27" s="3"/>
      <c r="G27" s="3"/>
      <c r="H27" s="3"/>
      <c r="I27" s="3"/>
      <c r="J27" s="3"/>
      <c r="K27" s="3"/>
      <c r="L27" s="3"/>
      <c r="M27" s="3"/>
      <c r="N27" s="3"/>
      <c r="O27" s="3"/>
      <c r="P27" s="3"/>
    </row>
  </sheetData>
  <autoFilter ref="A6:P24"/>
  <mergeCells count="4">
    <mergeCell ref="A1:P2"/>
    <mergeCell ref="A3:P3"/>
    <mergeCell ref="A4:P4"/>
    <mergeCell ref="A26:P27"/>
  </mergeCells>
  <conditionalFormatting sqref="I7:J24">
    <cfRule type="colorScale" priority="1">
      <colorScale>
        <cfvo type="num" val="0"/>
        <cfvo type="num" val="0.5"/>
        <cfvo type="num" val="1"/>
        <color rgb="FFF3F5F7"/>
        <color rgb="FFFFF2CC"/>
        <color rgb="FFC6E0B4"/>
      </colorScale>
    </cfRule>
  </conditionalFormatting>
  <dataValidations count="3">
    <dataValidation type="list" allowBlank="1" showInputMessage="1" showErrorMessage="1" sqref="G7:G24">
      <formula1>"OPEN,CLOSED"</formula1>
    </dataValidation>
    <dataValidation type="list" allowBlank="1" showInputMessage="1" showErrorMessage="1" sqref="H7:H24">
      <formula1>"COMPLETED,NOT_PLANNED,REOPENED"</formula1>
    </dataValidation>
    <dataValidation type="decimal" allowBlank="1" showInputMessage="1" showErrorMessage="1" errorTitle="Ngoài khoảng" error="Chỉ nhận 0%–100%." promptTitle="Tự đánh giá riêng" prompt="Nhập 0%–100% nếu nhóm đã đối chiếu bằng chứng." sqref="J7:J24">
      <formula1>0</formula1>
      <formula2>1</formula2>
    </dataValidation>
  </dataValidations>
  <hyperlinks>
    <hyperlink ref="N7" r:id="rId1"/>
    <hyperlink ref="N8" r:id="rId2"/>
    <hyperlink ref="N9" r:id="rId3"/>
    <hyperlink ref="N10" r:id="rId4"/>
    <hyperlink ref="N11" r:id="rId5"/>
    <hyperlink ref="N12" r:id="rId6"/>
    <hyperlink ref="N13" r:id="rId7"/>
    <hyperlink ref="N14" r:id="rId8"/>
    <hyperlink ref="N15" r:id="rId9"/>
    <hyperlink ref="N16" r:id="rId10"/>
    <hyperlink ref="N17" r:id="rId11"/>
    <hyperlink ref="N18" r:id="rId12"/>
    <hyperlink ref="N19" r:id="rId13"/>
    <hyperlink ref="N20" r:id="rId14"/>
    <hyperlink ref="N21" r:id="rId15"/>
    <hyperlink ref="N22" r:id="rId16"/>
    <hyperlink ref="N23" r:id="rId17"/>
    <hyperlink ref="N24" r:id="rId18"/>
  </hyperlinks>
  <pageMargins left="0.3" right="0.3" top="0.4" bottom="0.4" header="0.3" footer="0.3"/>
  <pageSetup paperSize="9" fitToHeight="0" orientation="landscape"/>
  <headerFooter>
    <oddFooter>&amp;LTHU THANH | 11–31/10/2026&amp;RTrang &amp;P / &amp;N</oddFooter>
  </headerFooter>
  <legacyDrawing r:id="rId19"/>
</worksheet>
</file>

<file path=xl/worksheets/sheet4.xml><?xml version="1.0" encoding="utf-8"?>
<worksheet xmlns="http://schemas.openxmlformats.org/spreadsheetml/2006/main" xmlns:r="http://schemas.openxmlformats.org/officeDocument/2006/relationships">
  <sheetPr>
    <tabColor rgb="FF17365D"/>
    <pageSetUpPr fitToPage="1"/>
  </sheetPr>
  <dimension ref="A1:H24"/>
  <sheetViews>
    <sheetView showGridLines="0" workbookViewId="0">
      <pane xSplit="3" ySplit="6" topLeftCell="D7" activePane="bottomRight" state="frozen"/>
      <selection pane="topRight" activeCell="D1" sqref="D1"/>
      <selection pane="bottomLeft" activeCell="A7" sqref="A7"/>
      <selection pane="bottomRight"/>
    </sheetView>
  </sheetViews>
  <sheetFormatPr defaultRowHeight="21.75" customHeight="1"/>
  <cols>
    <col min="1" max="1" width="10.7109375" customWidth="1"/>
    <col min="2" max="3" width="14.7109375" customWidth="1"/>
    <col min="4" max="4" width="13.7109375" customWidth="1"/>
    <col min="5" max="5" width="58.7109375" customWidth="1"/>
    <col min="6" max="6" width="50.7109375" customWidth="1"/>
    <col min="7" max="7" width="44.7109375" customWidth="1"/>
    <col min="8" max="8" width="16.7109375" customWidth="1"/>
  </cols>
  <sheetData>
    <row r="1" spans="1:8" ht="21.75" customHeight="1">
      <c r="A1" s="1" t="s">
        <v>179</v>
      </c>
      <c r="B1" s="1"/>
      <c r="C1" s="1"/>
      <c r="D1" s="1"/>
      <c r="E1" s="1"/>
      <c r="F1" s="1"/>
      <c r="G1" s="1"/>
      <c r="H1" s="1"/>
    </row>
    <row r="2" spans="1:8" ht="21.75" customHeight="1">
      <c r="A2" s="1"/>
      <c r="B2" s="1"/>
      <c r="C2" s="1"/>
      <c r="D2" s="1"/>
      <c r="E2" s="1"/>
      <c r="F2" s="1"/>
      <c r="G2" s="1"/>
      <c r="H2" s="1"/>
    </row>
    <row r="3" spans="1:8" ht="21.75" customHeight="1">
      <c r="A3" s="3" t="s">
        <v>180</v>
      </c>
      <c r="B3" s="3"/>
      <c r="C3" s="3"/>
      <c r="D3" s="3"/>
      <c r="E3" s="3"/>
      <c r="F3" s="3"/>
      <c r="G3" s="3"/>
      <c r="H3" s="3"/>
    </row>
    <row r="4" spans="1:8" ht="21.75" customHeight="1">
      <c r="A4" s="3"/>
      <c r="B4" s="3"/>
      <c r="C4" s="3"/>
      <c r="D4" s="3"/>
      <c r="E4" s="3"/>
      <c r="F4" s="3"/>
      <c r="G4" s="3"/>
      <c r="H4" s="3"/>
    </row>
    <row r="6" spans="1:8" ht="36" customHeight="1">
      <c r="A6" s="4" t="s">
        <v>3</v>
      </c>
      <c r="B6" s="4" t="s">
        <v>151</v>
      </c>
      <c r="C6" s="4" t="s">
        <v>141</v>
      </c>
      <c r="D6" s="4" t="s">
        <v>181</v>
      </c>
      <c r="E6" s="4" t="s">
        <v>182</v>
      </c>
      <c r="F6" s="4" t="s">
        <v>183</v>
      </c>
      <c r="G6" s="4" t="s">
        <v>184</v>
      </c>
      <c r="H6" s="4" t="s">
        <v>185</v>
      </c>
    </row>
    <row r="7" spans="1:8" ht="90" customHeight="1">
      <c r="A7" s="5" t="s">
        <v>19</v>
      </c>
      <c r="B7" s="5" t="s">
        <v>21</v>
      </c>
      <c r="C7" s="5" t="s">
        <v>22</v>
      </c>
      <c r="D7" s="11">
        <v>46320</v>
      </c>
      <c r="E7" s="5" t="s">
        <v>26</v>
      </c>
      <c r="F7" s="5" t="s">
        <v>186</v>
      </c>
      <c r="G7" s="5" t="s">
        <v>187</v>
      </c>
      <c r="H7" s="5" t="s">
        <v>188</v>
      </c>
    </row>
    <row r="8" spans="1:8" ht="90" customHeight="1">
      <c r="A8" s="5" t="s">
        <v>38</v>
      </c>
      <c r="B8" s="5" t="s">
        <v>22</v>
      </c>
      <c r="C8" s="5" t="s">
        <v>21</v>
      </c>
      <c r="D8" s="11">
        <v>46320</v>
      </c>
      <c r="E8" s="5" t="s">
        <v>41</v>
      </c>
      <c r="F8" s="5" t="s">
        <v>186</v>
      </c>
      <c r="G8" s="5" t="s">
        <v>42</v>
      </c>
      <c r="H8" s="5" t="s">
        <v>188</v>
      </c>
    </row>
    <row r="9" spans="1:8" ht="90" customHeight="1">
      <c r="A9" s="5" t="s">
        <v>31</v>
      </c>
      <c r="B9" s="5" t="s">
        <v>21</v>
      </c>
      <c r="C9" s="5" t="s">
        <v>22</v>
      </c>
      <c r="D9" s="11">
        <v>46321</v>
      </c>
      <c r="E9" s="5" t="s">
        <v>34</v>
      </c>
      <c r="F9" s="5" t="s">
        <v>186</v>
      </c>
      <c r="G9" s="5" t="s">
        <v>35</v>
      </c>
      <c r="H9" s="5" t="s">
        <v>188</v>
      </c>
    </row>
    <row r="10" spans="1:8" ht="90" customHeight="1">
      <c r="A10" s="5" t="s">
        <v>44</v>
      </c>
      <c r="B10" s="5" t="s">
        <v>21</v>
      </c>
      <c r="C10" s="5" t="s">
        <v>22</v>
      </c>
      <c r="D10" s="11">
        <v>46321</v>
      </c>
      <c r="E10" s="5" t="s">
        <v>48</v>
      </c>
      <c r="F10" s="5" t="s">
        <v>186</v>
      </c>
      <c r="G10" s="5" t="s">
        <v>187</v>
      </c>
      <c r="H10" s="5" t="s">
        <v>188</v>
      </c>
    </row>
    <row r="11" spans="1:8" ht="90" customHeight="1">
      <c r="A11" s="5" t="s">
        <v>50</v>
      </c>
      <c r="B11" s="5" t="s">
        <v>22</v>
      </c>
      <c r="C11" s="5" t="s">
        <v>21</v>
      </c>
      <c r="D11" s="11">
        <v>46321</v>
      </c>
      <c r="E11" s="5" t="s">
        <v>53</v>
      </c>
      <c r="F11" s="5" t="s">
        <v>186</v>
      </c>
      <c r="G11" s="5" t="s">
        <v>187</v>
      </c>
      <c r="H11" s="5" t="s">
        <v>188</v>
      </c>
    </row>
    <row r="12" spans="1:8" ht="90" customHeight="1">
      <c r="A12" s="5" t="s">
        <v>55</v>
      </c>
      <c r="B12" s="5" t="s">
        <v>21</v>
      </c>
      <c r="C12" s="5" t="s">
        <v>22</v>
      </c>
      <c r="D12" s="11">
        <v>46322</v>
      </c>
      <c r="E12" s="5" t="s">
        <v>58</v>
      </c>
      <c r="F12" s="5" t="s">
        <v>186</v>
      </c>
      <c r="G12" s="5" t="s">
        <v>59</v>
      </c>
      <c r="H12" s="5" t="s">
        <v>188</v>
      </c>
    </row>
    <row r="13" spans="1:8" ht="90" customHeight="1">
      <c r="A13" s="5" t="s">
        <v>61</v>
      </c>
      <c r="B13" s="5" t="s">
        <v>21</v>
      </c>
      <c r="C13" s="5" t="s">
        <v>22</v>
      </c>
      <c r="D13" s="11">
        <v>46322</v>
      </c>
      <c r="E13" s="5" t="s">
        <v>64</v>
      </c>
      <c r="F13" s="5" t="s">
        <v>186</v>
      </c>
      <c r="G13" s="5" t="s">
        <v>187</v>
      </c>
      <c r="H13" s="5" t="s">
        <v>188</v>
      </c>
    </row>
    <row r="14" spans="1:8" ht="90" customHeight="1">
      <c r="A14" s="5" t="s">
        <v>66</v>
      </c>
      <c r="B14" s="5" t="s">
        <v>22</v>
      </c>
      <c r="C14" s="5" t="s">
        <v>21</v>
      </c>
      <c r="D14" s="11">
        <v>46322</v>
      </c>
      <c r="E14" s="5" t="s">
        <v>69</v>
      </c>
      <c r="F14" s="5" t="s">
        <v>186</v>
      </c>
      <c r="G14" s="5" t="s">
        <v>187</v>
      </c>
      <c r="H14" s="5" t="s">
        <v>188</v>
      </c>
    </row>
    <row r="15" spans="1:8" ht="90" customHeight="1">
      <c r="A15" s="5" t="s">
        <v>90</v>
      </c>
      <c r="B15" s="5" t="s">
        <v>21</v>
      </c>
      <c r="C15" s="5" t="s">
        <v>22</v>
      </c>
      <c r="D15" s="11">
        <v>46322</v>
      </c>
      <c r="E15" s="5" t="s">
        <v>93</v>
      </c>
      <c r="F15" s="5" t="s">
        <v>186</v>
      </c>
      <c r="G15" s="5" t="s">
        <v>187</v>
      </c>
      <c r="H15" s="5" t="s">
        <v>188</v>
      </c>
    </row>
    <row r="16" spans="1:8" ht="90" customHeight="1">
      <c r="A16" s="5" t="s">
        <v>95</v>
      </c>
      <c r="B16" s="5" t="s">
        <v>22</v>
      </c>
      <c r="C16" s="5" t="s">
        <v>21</v>
      </c>
      <c r="D16" s="11">
        <v>46323</v>
      </c>
      <c r="E16" s="5" t="s">
        <v>98</v>
      </c>
      <c r="F16" s="5" t="s">
        <v>186</v>
      </c>
      <c r="G16" s="5" t="s">
        <v>187</v>
      </c>
      <c r="H16" s="5" t="s">
        <v>188</v>
      </c>
    </row>
    <row r="17" spans="1:8" ht="90" customHeight="1">
      <c r="A17" s="5" t="s">
        <v>100</v>
      </c>
      <c r="B17" s="5" t="s">
        <v>22</v>
      </c>
      <c r="C17" s="5" t="s">
        <v>21</v>
      </c>
      <c r="D17" s="11">
        <v>46323</v>
      </c>
      <c r="E17" s="5" t="s">
        <v>103</v>
      </c>
      <c r="F17" s="5" t="s">
        <v>186</v>
      </c>
      <c r="G17" s="5" t="s">
        <v>104</v>
      </c>
      <c r="H17" s="5" t="s">
        <v>188</v>
      </c>
    </row>
    <row r="18" spans="1:8" ht="90" customHeight="1">
      <c r="A18" s="5" t="s">
        <v>106</v>
      </c>
      <c r="B18" s="5" t="s">
        <v>21</v>
      </c>
      <c r="C18" s="5" t="s">
        <v>22</v>
      </c>
      <c r="D18" s="11">
        <v>46323</v>
      </c>
      <c r="E18" s="5" t="s">
        <v>109</v>
      </c>
      <c r="F18" s="5" t="s">
        <v>186</v>
      </c>
      <c r="G18" s="5" t="s">
        <v>187</v>
      </c>
      <c r="H18" s="5" t="s">
        <v>188</v>
      </c>
    </row>
    <row r="19" spans="1:8" ht="90" customHeight="1">
      <c r="A19" s="5" t="s">
        <v>71</v>
      </c>
      <c r="B19" s="5" t="s">
        <v>22</v>
      </c>
      <c r="C19" s="5" t="s">
        <v>21</v>
      </c>
      <c r="D19" s="11">
        <v>46324</v>
      </c>
      <c r="E19" s="5" t="s">
        <v>75</v>
      </c>
      <c r="F19" s="5" t="s">
        <v>189</v>
      </c>
      <c r="G19" s="5" t="s">
        <v>76</v>
      </c>
      <c r="H19" s="5" t="s">
        <v>190</v>
      </c>
    </row>
    <row r="20" spans="1:8" ht="90" customHeight="1">
      <c r="A20" s="5" t="s">
        <v>78</v>
      </c>
      <c r="B20" s="5" t="s">
        <v>22</v>
      </c>
      <c r="C20" s="5" t="s">
        <v>21</v>
      </c>
      <c r="D20" s="11">
        <v>46324</v>
      </c>
      <c r="E20" s="5" t="s">
        <v>81</v>
      </c>
      <c r="F20" s="5" t="s">
        <v>189</v>
      </c>
      <c r="G20" s="5" t="s">
        <v>82</v>
      </c>
      <c r="H20" s="5" t="s">
        <v>190</v>
      </c>
    </row>
    <row r="21" spans="1:8" ht="90" customHeight="1">
      <c r="A21" s="5" t="s">
        <v>84</v>
      </c>
      <c r="B21" s="5" t="s">
        <v>21</v>
      </c>
      <c r="C21" s="5" t="s">
        <v>22</v>
      </c>
      <c r="D21" s="11">
        <v>46324</v>
      </c>
      <c r="E21" s="5" t="s">
        <v>87</v>
      </c>
      <c r="F21" s="5" t="s">
        <v>189</v>
      </c>
      <c r="G21" s="5" t="s">
        <v>88</v>
      </c>
      <c r="H21" s="5" t="s">
        <v>190</v>
      </c>
    </row>
    <row r="22" spans="1:8" ht="90" customHeight="1">
      <c r="A22" s="5" t="s">
        <v>111</v>
      </c>
      <c r="B22" s="5" t="s">
        <v>22</v>
      </c>
      <c r="C22" s="5" t="s">
        <v>21</v>
      </c>
      <c r="D22" s="11">
        <v>46325</v>
      </c>
      <c r="E22" s="5" t="s">
        <v>114</v>
      </c>
      <c r="F22" s="5" t="s">
        <v>189</v>
      </c>
      <c r="G22" s="5" t="s">
        <v>115</v>
      </c>
      <c r="H22" s="5" t="s">
        <v>190</v>
      </c>
    </row>
    <row r="23" spans="1:8" ht="90" customHeight="1">
      <c r="A23" s="5" t="s">
        <v>117</v>
      </c>
      <c r="B23" s="5" t="s">
        <v>22</v>
      </c>
      <c r="C23" s="5" t="s">
        <v>21</v>
      </c>
      <c r="D23" s="11">
        <v>46325</v>
      </c>
      <c r="E23" s="5" t="s">
        <v>120</v>
      </c>
      <c r="F23" s="5" t="s">
        <v>186</v>
      </c>
      <c r="G23" s="5" t="s">
        <v>121</v>
      </c>
      <c r="H23" s="5" t="s">
        <v>188</v>
      </c>
    </row>
    <row r="24" spans="1:8" ht="90" customHeight="1">
      <c r="A24" s="5" t="s">
        <v>123</v>
      </c>
      <c r="B24" s="5" t="s">
        <v>21</v>
      </c>
      <c r="C24" s="5" t="s">
        <v>22</v>
      </c>
      <c r="D24" s="11">
        <v>46326</v>
      </c>
      <c r="E24" s="5" t="s">
        <v>126</v>
      </c>
      <c r="F24" s="5" t="s">
        <v>189</v>
      </c>
      <c r="G24" s="5" t="s">
        <v>127</v>
      </c>
      <c r="H24" s="5" t="s">
        <v>190</v>
      </c>
    </row>
  </sheetData>
  <autoFilter ref="A6:H24"/>
  <mergeCells count="2">
    <mergeCell ref="A1:H2"/>
    <mergeCell ref="A3:H4"/>
  </mergeCells>
  <pageMargins left="0.3" right="0.3" top="0.4" bottom="0.4" header="0.3" footer="0.3"/>
  <pageSetup paperSize="9" fitToHeight="0" orientation="landscape"/>
  <headerFooter>
    <oddFooter>&amp;LTHU THANH | 11–31/10/2026&amp;RTrang &amp;P / &amp;N</oddFooter>
  </headerFooter>
</worksheet>
</file>

<file path=xl/worksheets/sheet5.xml><?xml version="1.0" encoding="utf-8"?>
<worksheet xmlns="http://schemas.openxmlformats.org/spreadsheetml/2006/main" xmlns:r="http://schemas.openxmlformats.org/officeDocument/2006/relationships">
  <sheetPr>
    <tabColor rgb="FF17365D"/>
    <pageSetUpPr fitToPage="1"/>
  </sheetPr>
  <dimension ref="A1:H39"/>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21.75" customHeight="1"/>
  <cols>
    <col min="1" max="1" width="22.7109375" customWidth="1"/>
    <col min="2" max="8" width="24.7109375" customWidth="1"/>
  </cols>
  <sheetData>
    <row r="1" spans="1:8" ht="21.75" customHeight="1">
      <c r="A1" s="1" t="s">
        <v>191</v>
      </c>
      <c r="B1" s="1"/>
      <c r="C1" s="1"/>
      <c r="D1" s="1"/>
      <c r="E1" s="1"/>
      <c r="F1" s="1"/>
      <c r="G1" s="1"/>
      <c r="H1" s="1"/>
    </row>
    <row r="2" spans="1:8" ht="21.75" customHeight="1">
      <c r="A2" s="1"/>
      <c r="B2" s="1"/>
      <c r="C2" s="1"/>
      <c r="D2" s="1"/>
      <c r="E2" s="1"/>
      <c r="F2" s="1"/>
      <c r="G2" s="1"/>
      <c r="H2" s="1"/>
    </row>
    <row r="5" spans="1:8" ht="24.75" customHeight="1">
      <c r="A5" s="7" t="s">
        <v>192</v>
      </c>
      <c r="B5" s="5" t="s">
        <v>193</v>
      </c>
      <c r="C5" s="5"/>
      <c r="D5" s="5"/>
      <c r="E5" s="5"/>
      <c r="F5" s="5"/>
      <c r="G5" s="5"/>
      <c r="H5" s="5"/>
    </row>
    <row r="6" spans="1:8" ht="24.75" customHeight="1">
      <c r="A6" s="7"/>
      <c r="B6" s="5"/>
      <c r="C6" s="5"/>
      <c r="D6" s="5"/>
      <c r="E6" s="5"/>
      <c r="F6" s="5"/>
      <c r="G6" s="5"/>
      <c r="H6" s="5"/>
    </row>
    <row r="7" spans="1:8" ht="24.75" customHeight="1">
      <c r="A7" s="7" t="s">
        <v>194</v>
      </c>
      <c r="B7" s="5" t="s">
        <v>195</v>
      </c>
      <c r="C7" s="5"/>
      <c r="D7" s="5"/>
      <c r="E7" s="5"/>
      <c r="F7" s="5"/>
      <c r="G7" s="5"/>
      <c r="H7" s="5"/>
    </row>
    <row r="8" spans="1:8" ht="24.75" customHeight="1">
      <c r="A8" s="7"/>
      <c r="B8" s="5"/>
      <c r="C8" s="5"/>
      <c r="D8" s="5"/>
      <c r="E8" s="5"/>
      <c r="F8" s="5"/>
      <c r="G8" s="5"/>
      <c r="H8" s="5"/>
    </row>
    <row r="9" spans="1:8" ht="24.75" customHeight="1">
      <c r="A9" s="7" t="s">
        <v>196</v>
      </c>
      <c r="B9" s="5" t="s">
        <v>197</v>
      </c>
      <c r="C9" s="5"/>
      <c r="D9" s="5"/>
      <c r="E9" s="5"/>
      <c r="F9" s="5"/>
      <c r="G9" s="5"/>
      <c r="H9" s="5"/>
    </row>
    <row r="10" spans="1:8" ht="24.75" customHeight="1">
      <c r="A10" s="7"/>
      <c r="B10" s="5"/>
      <c r="C10" s="5"/>
      <c r="D10" s="5"/>
      <c r="E10" s="5"/>
      <c r="F10" s="5"/>
      <c r="G10" s="5"/>
      <c r="H10" s="5"/>
    </row>
    <row r="11" spans="1:8" ht="24.75" customHeight="1">
      <c r="A11" s="7" t="s">
        <v>198</v>
      </c>
      <c r="B11" s="5" t="s">
        <v>199</v>
      </c>
      <c r="C11" s="5"/>
      <c r="D11" s="5"/>
      <c r="E11" s="5"/>
      <c r="F11" s="5"/>
      <c r="G11" s="5"/>
      <c r="H11" s="5"/>
    </row>
    <row r="12" spans="1:8" ht="24.75" customHeight="1">
      <c r="A12" s="7"/>
      <c r="B12" s="5"/>
      <c r="C12" s="5"/>
      <c r="D12" s="5"/>
      <c r="E12" s="5"/>
      <c r="F12" s="5"/>
      <c r="G12" s="5"/>
      <c r="H12" s="5"/>
    </row>
    <row r="13" spans="1:8" ht="24.75" customHeight="1">
      <c r="A13" s="7" t="s">
        <v>200</v>
      </c>
      <c r="B13" s="5" t="s">
        <v>201</v>
      </c>
      <c r="C13" s="5"/>
      <c r="D13" s="5"/>
      <c r="E13" s="5"/>
      <c r="F13" s="5"/>
      <c r="G13" s="5"/>
      <c r="H13" s="5"/>
    </row>
    <row r="14" spans="1:8" ht="24.75" customHeight="1">
      <c r="A14" s="7"/>
      <c r="B14" s="5"/>
      <c r="C14" s="5"/>
      <c r="D14" s="5"/>
      <c r="E14" s="5"/>
      <c r="F14" s="5"/>
      <c r="G14" s="5"/>
      <c r="H14" s="5"/>
    </row>
    <row r="15" spans="1:8" ht="24.75" customHeight="1">
      <c r="A15" s="7" t="s">
        <v>202</v>
      </c>
      <c r="B15" s="5" t="s">
        <v>203</v>
      </c>
      <c r="C15" s="5"/>
      <c r="D15" s="5"/>
      <c r="E15" s="5"/>
      <c r="F15" s="5"/>
      <c r="G15" s="5"/>
      <c r="H15" s="5"/>
    </row>
    <row r="16" spans="1:8" ht="24.75" customHeight="1">
      <c r="A16" s="7"/>
      <c r="B16" s="5"/>
      <c r="C16" s="5"/>
      <c r="D16" s="5"/>
      <c r="E16" s="5"/>
      <c r="F16" s="5"/>
      <c r="G16" s="5"/>
      <c r="H16" s="5"/>
    </row>
    <row r="17" spans="1:8" ht="24.75" customHeight="1">
      <c r="A17" s="7" t="s">
        <v>204</v>
      </c>
      <c r="B17" s="5" t="s">
        <v>205</v>
      </c>
      <c r="C17" s="5"/>
      <c r="D17" s="5"/>
      <c r="E17" s="5"/>
      <c r="F17" s="5"/>
      <c r="G17" s="5"/>
      <c r="H17" s="5"/>
    </row>
    <row r="18" spans="1:8" ht="24.75" customHeight="1">
      <c r="A18" s="7"/>
      <c r="B18" s="5"/>
      <c r="C18" s="5"/>
      <c r="D18" s="5"/>
      <c r="E18" s="5"/>
      <c r="F18" s="5"/>
      <c r="G18" s="5"/>
      <c r="H18" s="5"/>
    </row>
    <row r="19" spans="1:8" ht="24.75" customHeight="1">
      <c r="A19" s="7" t="s">
        <v>206</v>
      </c>
      <c r="B19" s="5" t="s">
        <v>207</v>
      </c>
      <c r="C19" s="5"/>
      <c r="D19" s="5"/>
      <c r="E19" s="5"/>
      <c r="F19" s="5"/>
      <c r="G19" s="5"/>
      <c r="H19" s="5"/>
    </row>
    <row r="20" spans="1:8" ht="24.75" customHeight="1">
      <c r="A20" s="7"/>
      <c r="B20" s="5"/>
      <c r="C20" s="5"/>
      <c r="D20" s="5"/>
      <c r="E20" s="5"/>
      <c r="F20" s="5"/>
      <c r="G20" s="5"/>
      <c r="H20" s="5"/>
    </row>
    <row r="21" spans="1:8" ht="24.75" customHeight="1">
      <c r="A21" s="7" t="s">
        <v>208</v>
      </c>
      <c r="B21" s="5" t="s">
        <v>209</v>
      </c>
      <c r="C21" s="5"/>
      <c r="D21" s="5"/>
      <c r="E21" s="5"/>
      <c r="F21" s="5"/>
      <c r="G21" s="5"/>
      <c r="H21" s="5"/>
    </row>
    <row r="22" spans="1:8" ht="24.75" customHeight="1">
      <c r="A22" s="7"/>
      <c r="B22" s="5"/>
      <c r="C22" s="5"/>
      <c r="D22" s="5"/>
      <c r="E22" s="5"/>
      <c r="F22" s="5"/>
      <c r="G22" s="5"/>
      <c r="H22" s="5"/>
    </row>
    <row r="23" spans="1:8" ht="24.75" customHeight="1">
      <c r="A23" s="7" t="s">
        <v>210</v>
      </c>
      <c r="B23" s="5" t="s">
        <v>211</v>
      </c>
      <c r="C23" s="5"/>
      <c r="D23" s="5"/>
      <c r="E23" s="5"/>
      <c r="F23" s="5"/>
      <c r="G23" s="5"/>
      <c r="H23" s="5"/>
    </row>
    <row r="24" spans="1:8" ht="24.75" customHeight="1">
      <c r="A24" s="7"/>
      <c r="B24" s="5"/>
      <c r="C24" s="5"/>
      <c r="D24" s="5"/>
      <c r="E24" s="5"/>
      <c r="F24" s="5"/>
      <c r="G24" s="5"/>
      <c r="H24" s="5"/>
    </row>
    <row r="25" spans="1:8" ht="24.75" customHeight="1">
      <c r="A25" s="7" t="s">
        <v>212</v>
      </c>
      <c r="B25" s="5" t="s">
        <v>213</v>
      </c>
      <c r="C25" s="5"/>
      <c r="D25" s="5"/>
      <c r="E25" s="5"/>
      <c r="F25" s="5"/>
      <c r="G25" s="5"/>
      <c r="H25" s="5"/>
    </row>
    <row r="26" spans="1:8" ht="24.75" customHeight="1">
      <c r="A26" s="7"/>
      <c r="B26" s="5"/>
      <c r="C26" s="5"/>
      <c r="D26" s="5"/>
      <c r="E26" s="5"/>
      <c r="F26" s="5"/>
      <c r="G26" s="5"/>
      <c r="H26" s="5"/>
    </row>
    <row r="27" spans="1:8" ht="24.75" customHeight="1">
      <c r="A27" s="7" t="s">
        <v>214</v>
      </c>
      <c r="B27" s="5" t="s">
        <v>215</v>
      </c>
      <c r="C27" s="5"/>
      <c r="D27" s="5"/>
      <c r="E27" s="5"/>
      <c r="F27" s="5"/>
      <c r="G27" s="5"/>
      <c r="H27" s="5"/>
    </row>
    <row r="28" spans="1:8" ht="24.75" customHeight="1">
      <c r="A28" s="7"/>
      <c r="B28" s="5"/>
      <c r="C28" s="5"/>
      <c r="D28" s="5"/>
      <c r="E28" s="5"/>
      <c r="F28" s="5"/>
      <c r="G28" s="5"/>
      <c r="H28" s="5"/>
    </row>
    <row r="29" spans="1:8" ht="24.75" customHeight="1">
      <c r="A29" s="7" t="s">
        <v>216</v>
      </c>
      <c r="B29" s="5" t="s">
        <v>217</v>
      </c>
      <c r="C29" s="5"/>
      <c r="D29" s="5"/>
      <c r="E29" s="5"/>
      <c r="F29" s="5"/>
      <c r="G29" s="5"/>
      <c r="H29" s="5"/>
    </row>
    <row r="30" spans="1:8" ht="24.75" customHeight="1">
      <c r="A30" s="7"/>
      <c r="B30" s="5"/>
      <c r="C30" s="5"/>
      <c r="D30" s="5"/>
      <c r="E30" s="5"/>
      <c r="F30" s="5"/>
      <c r="G30" s="5"/>
      <c r="H30" s="5"/>
    </row>
    <row r="31" spans="1:8" ht="24.75" customHeight="1">
      <c r="A31" s="7" t="s">
        <v>218</v>
      </c>
      <c r="B31" s="5" t="s">
        <v>219</v>
      </c>
      <c r="C31" s="5"/>
      <c r="D31" s="5"/>
      <c r="E31" s="5"/>
      <c r="F31" s="5"/>
      <c r="G31" s="5"/>
      <c r="H31" s="5"/>
    </row>
    <row r="32" spans="1:8" ht="24.75" customHeight="1">
      <c r="A32" s="7"/>
      <c r="B32" s="5"/>
      <c r="C32" s="5"/>
      <c r="D32" s="5"/>
      <c r="E32" s="5"/>
      <c r="F32" s="5"/>
      <c r="G32" s="5"/>
      <c r="H32" s="5"/>
    </row>
    <row r="33" spans="1:8" ht="21.75" customHeight="1">
      <c r="A33" s="8" t="s">
        <v>220</v>
      </c>
      <c r="B33" s="8"/>
      <c r="C33" s="8"/>
      <c r="D33" s="8"/>
      <c r="E33" s="8"/>
      <c r="F33" s="8"/>
      <c r="G33" s="8"/>
      <c r="H33" s="8"/>
    </row>
    <row r="34" spans="1:8" ht="21.75" customHeight="1">
      <c r="A34" s="8" t="s">
        <v>221</v>
      </c>
      <c r="B34" s="8"/>
      <c r="C34" s="8"/>
      <c r="D34" s="8"/>
      <c r="E34" s="8"/>
      <c r="F34" s="8"/>
      <c r="G34" s="8"/>
      <c r="H34" s="8"/>
    </row>
    <row r="35" spans="1:8" ht="21.75" customHeight="1">
      <c r="A35" s="8" t="s">
        <v>222</v>
      </c>
      <c r="B35" s="8"/>
      <c r="C35" s="8"/>
      <c r="D35" s="8"/>
      <c r="E35" s="8"/>
      <c r="F35" s="8"/>
      <c r="G35" s="8"/>
      <c r="H35" s="8"/>
    </row>
    <row r="36" spans="1:8" ht="21.75" customHeight="1">
      <c r="A36" s="8" t="s">
        <v>223</v>
      </c>
      <c r="B36" s="8"/>
      <c r="C36" s="8"/>
      <c r="D36" s="8"/>
      <c r="E36" s="8"/>
      <c r="F36" s="8"/>
      <c r="G36" s="8"/>
      <c r="H36" s="8"/>
    </row>
    <row r="37" spans="1:8" ht="21.75" customHeight="1">
      <c r="A37" s="7" t="s">
        <v>224</v>
      </c>
      <c r="B37" s="7"/>
      <c r="C37" s="7"/>
      <c r="D37" s="7"/>
      <c r="E37" s="7"/>
      <c r="F37" s="7"/>
      <c r="G37" s="7"/>
      <c r="H37" s="7"/>
    </row>
    <row r="38" spans="1:8" ht="21.75" customHeight="1">
      <c r="A38" s="8" t="s">
        <v>225</v>
      </c>
      <c r="B38" s="8"/>
      <c r="C38" s="8"/>
      <c r="D38" s="8"/>
      <c r="E38" s="8"/>
      <c r="F38" s="8"/>
      <c r="G38" s="8"/>
      <c r="H38" s="8"/>
    </row>
    <row r="39" spans="1:8" ht="21.75" customHeight="1">
      <c r="A39" s="8" t="s">
        <v>226</v>
      </c>
      <c r="B39" s="8"/>
      <c r="C39" s="8"/>
      <c r="D39" s="8"/>
      <c r="E39" s="8"/>
      <c r="F39" s="8"/>
      <c r="G39" s="8"/>
      <c r="H39" s="8"/>
    </row>
  </sheetData>
  <mergeCells count="36">
    <mergeCell ref="A1:H2"/>
    <mergeCell ref="A5:A6"/>
    <mergeCell ref="B5:H6"/>
    <mergeCell ref="A7:A8"/>
    <mergeCell ref="B7:H8"/>
    <mergeCell ref="A9:A10"/>
    <mergeCell ref="B9:H10"/>
    <mergeCell ref="A11:A12"/>
    <mergeCell ref="B11:H12"/>
    <mergeCell ref="A13:A14"/>
    <mergeCell ref="B13:H14"/>
    <mergeCell ref="A15:A16"/>
    <mergeCell ref="B15:H16"/>
    <mergeCell ref="A17:A18"/>
    <mergeCell ref="B17:H18"/>
    <mergeCell ref="A19:A20"/>
    <mergeCell ref="B19:H20"/>
    <mergeCell ref="A21:A22"/>
    <mergeCell ref="B21:H22"/>
    <mergeCell ref="A23:A24"/>
    <mergeCell ref="B23:H24"/>
    <mergeCell ref="A25:A26"/>
    <mergeCell ref="B25:H26"/>
    <mergeCell ref="A27:A28"/>
    <mergeCell ref="B27:H28"/>
    <mergeCell ref="A29:A30"/>
    <mergeCell ref="B29:H30"/>
    <mergeCell ref="A31:A32"/>
    <mergeCell ref="B31:H32"/>
    <mergeCell ref="A33:H33"/>
    <mergeCell ref="A34:H34"/>
    <mergeCell ref="A35:H35"/>
    <mergeCell ref="A36:H36"/>
    <mergeCell ref="A37:H37"/>
    <mergeCell ref="A38:H38"/>
    <mergeCell ref="A39:H39"/>
  </mergeCells>
  <hyperlinks>
    <hyperlink ref="A33" r:id="rId1"/>
    <hyperlink ref="A34" r:id="rId2"/>
    <hyperlink ref="A35" r:id="rId3"/>
    <hyperlink ref="A36" r:id="rId4"/>
    <hyperlink ref="A38" r:id="rId5"/>
    <hyperlink ref="A39" r:id="rId6"/>
  </hyperlinks>
  <pageMargins left="0.3" right="0.3" top="0.4" bottom="0.4" header="0.3" footer="0.3"/>
  <pageSetup paperSize="9" fitToHeight="0" orientation="landscape"/>
  <headerFooter>
    <oddFooter>&amp;LTHU THANH | 11–31/10/2026&amp;RTrang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Tong quan</vt:lpstr>
      <vt:lpstr>Bao cao tuan</vt:lpstr>
      <vt:lpstr>Chi tiet task</vt:lpstr>
      <vt:lpstr>Viec con lai 25-31</vt:lpstr>
      <vt:lpstr>Nguon va cach tinh</vt:lpstr>
      <vt:lpstr>'Bao cao tuan'!Print_Area</vt:lpstr>
      <vt:lpstr>'Chi tiet task'!Print_Area</vt:lpstr>
      <vt:lpstr>'Nguon va cach tinh'!Print_Area</vt:lpstr>
      <vt:lpstr>'Tong quan'!Print_Area</vt:lpstr>
      <vt:lpstr>'Viec con lai 25-31'!Print_Area</vt:lpstr>
      <vt:lpstr>'Bao cao tuan'!Print_Titles</vt:lpstr>
      <vt:lpstr>'Chi tiet task'!Print_Titles</vt:lpstr>
      <vt:lpstr>'Viec con lai 25-31'!Print_Titles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Báo cáo tuần 11–31/10/2026 — Nhà sách Thu Thanh</dc:title>
  <dc:creator>Nhóm Đông và Thiện</dc:creator>
  <dc:description>Snapshot GitHub, không tự đóng issue.</dc:description>
  <cp:lastModifiedBy>Nhóm Đông và Thiện</cp:lastModifiedBy>
  <dcterms:created xsi:type="dcterms:W3CDTF">2026-10-24T08:45:34Z</dcterms:created>
  <dcterms:modified xsi:type="dcterms:W3CDTF">2026-10-24T08:45:34Z</dcterms:modified>
</cp:coreProperties>
</file>